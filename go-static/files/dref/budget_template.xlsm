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ifrcorg-my.sharepoint.com/personal/anamaria_escobar_ifrc_org1/Documents/Documents/DREF/DREF Budget tool 04-2025/"/>
    </mc:Choice>
  </mc:AlternateContent>
  <xr:revisionPtr revIDLastSave="0" documentId="8_{8FDD4C5D-798D-4E4B-9EFF-956657E94799}" xr6:coauthVersionLast="47" xr6:coauthVersionMax="47" xr10:uidLastSave="{00000000-0000-0000-0000-000000000000}"/>
  <bookViews>
    <workbookView xWindow="-98" yWindow="-98" windowWidth="21795" windowHeight="12975" tabRatio="706" activeTab="2" xr2:uid="{E63C7410-8C4A-47C1-AD00-5D0CE6BF9130}"/>
  </bookViews>
  <sheets>
    <sheet name="budget_tool" sheetId="3" r:id="rId1"/>
    <sheet name="DREF for publication" sheetId="5" r:id="rId2"/>
    <sheet name="Summary by APCode" sheetId="12" r:id="rId3"/>
    <sheet name="Resource Budget summary" sheetId="6" r:id="rId4"/>
    <sheet name="budget_groups" sheetId="4" r:id="rId5"/>
    <sheet name="Guidelines" sheetId="7" r:id="rId6"/>
    <sheet name="FedBudget data" sheetId="11" r:id="rId7"/>
    <sheet name="output codes" sheetId="2" state="hidden" r:id="rId8"/>
  </sheets>
  <externalReferences>
    <externalReference r:id="rId9"/>
  </externalReferences>
  <definedNames>
    <definedName name="_xlnm._FilterDatabase" localSheetId="3" hidden="1">'Resource Budget summary'!$E$7:$E$62</definedName>
    <definedName name="_xlnm._FilterDatabase" localSheetId="2" hidden="1">'Summary by APCode'!$B$8:$E$57</definedName>
    <definedName name="_xlcn.WorksheetConnection_DREFbudgettemplate2021.xlsxBUDGET1" hidden="1">BUDGET[]</definedName>
    <definedName name="_xlcn.WorksheetConnection_DREFbudgettemplate2021.xlsxOUTPUTS1" hidden="1">OUTPUTS[]</definedName>
    <definedName name="APP_CODE">budget_tool!$G$5</definedName>
    <definedName name="CHF_EA01">'Summary by APCode'!$E$43</definedName>
    <definedName name="CHF_EA02">'Summary by APCode'!$E$51</definedName>
    <definedName name="CHF_EA03">'Summary by APCode'!$E$53</definedName>
    <definedName name="CHF_PO01">'Summary by APCode'!$E$10</definedName>
    <definedName name="CHF_PO02">'Summary by APCode'!$E$12</definedName>
    <definedName name="CHF_PO03">'Summary by APCode'!$E$14</definedName>
    <definedName name="CHF_PO04">'Summary by APCode'!$E$16</definedName>
    <definedName name="CHF_PO05">'Summary by APCode'!$E$20</definedName>
    <definedName name="CHF_PO06">'Summary by APCode'!$E$23</definedName>
    <definedName name="CHF_PO07">'Summary by APCode'!$E$27</definedName>
    <definedName name="CHF_PO08">'Summary by APCode'!$E$29</definedName>
    <definedName name="CHF_PO09">'Summary by APCode'!$E$32</definedName>
    <definedName name="CHF_PO10">'Summary by APCode'!$E$38</definedName>
    <definedName name="CHF_PO11">'Summary by APCode'!$E$40</definedName>
    <definedName name="CODE_EAP">[1]budget_tool!$H$8</definedName>
    <definedName name="NAME_EAP">[1]budget_tool!$A$8</definedName>
    <definedName name="NAME_NS">[1]budget_tool!$A$5</definedName>
    <definedName name="NS_NAME">budget_tool!$A$5</definedName>
    <definedName name="OPERATION">budget_tool!$A$8</definedName>
    <definedName name="_xlnm.Print_Area" localSheetId="4">budget_groups!$A$1:$C$55</definedName>
    <definedName name="_xlnm.Print_Area" localSheetId="0">budget_tool!$A$1:$H$220</definedName>
    <definedName name="_xlnm.Print_Area" localSheetId="1">'DREF for publication'!$A$1:$E$30</definedName>
    <definedName name="_xlnm.Print_Area" localSheetId="5">Guidelines!$A$1:$I$124</definedName>
    <definedName name="_xlnm.Print_Area" localSheetId="3">'Resource Budget summary'!$A$1:$E$62</definedName>
    <definedName name="_xlnm.Print_Area" localSheetId="2">'Summary by APCode'!$A$1:$E$58</definedName>
    <definedName name="_xlnm.Print_Titles" localSheetId="0">budget_tool!$1:$10</definedName>
    <definedName name="_xlnm.Print_Titles" localSheetId="5">Guidelines!$1:$4</definedName>
    <definedName name="_xlnm.Print_Titles" localSheetId="3">'Resource Budget summary'!$1:$7</definedName>
    <definedName name="_xlnm.Print_Titles" localSheetId="2">'Summary by APCode'!$1:$8</definedName>
    <definedName name="RATE">budget_tool!$H$8</definedName>
    <definedName name="TOT_BUDGET">budget_tool!$H$219</definedName>
    <definedName name="TOT_DIRECT">BUDGET[[#Totals],[Total Cost CHF]]</definedName>
    <definedName name="TOT_INDIRECT">budget_tool!$H$218</definedName>
    <definedName name="TOTAL_01">[1]budget_tool!$K$220</definedName>
  </definedNames>
  <calcPr calcId="191028"/>
  <pivotCaches>
    <pivotCache cacheId="3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UTPUTS" name="OUTPUTS" connection="WorksheetConnection_DREF budget template 2021.xlsx!OUTPUTS"/>
          <x15:modelTable id="BUDGET" name="BUDGET" connection="WorksheetConnection_DREF budget template 2021.xlsx!BUDGET"/>
        </x15:modelTables>
        <x15:modelRelationships>
          <x15:modelRelationship fromTable="BUDGET" fromColumn="Output Code" toTable="OUTPUTS" toColumn="Output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2" l="1"/>
  <c r="E4" i="12"/>
  <c r="E5" i="6" l="1"/>
  <c r="E4" i="6"/>
  <c r="E5" i="5"/>
  <c r="E4" i="5"/>
  <c r="G176" i="3"/>
  <c r="H176" i="3" s="1"/>
  <c r="G175" i="3"/>
  <c r="H175" i="3" s="1"/>
  <c r="G174" i="3"/>
  <c r="H174" i="3" s="1"/>
  <c r="G173" i="3"/>
  <c r="H173" i="3" s="1"/>
  <c r="G172" i="3"/>
  <c r="H172" i="3" s="1"/>
  <c r="D48" i="12" s="1"/>
  <c r="E48" i="12" s="1"/>
  <c r="G170" i="3"/>
  <c r="H170" i="3" s="1"/>
  <c r="G169" i="3"/>
  <c r="H169" i="3" s="1"/>
  <c r="G168" i="3"/>
  <c r="H168" i="3" s="1"/>
  <c r="G167" i="3"/>
  <c r="H167" i="3" s="1"/>
  <c r="G166" i="3"/>
  <c r="H166" i="3" s="1"/>
  <c r="G119" i="3"/>
  <c r="H119" i="3" s="1"/>
  <c r="G118" i="3"/>
  <c r="H118" i="3" s="1"/>
  <c r="G117" i="3"/>
  <c r="H117" i="3" s="1"/>
  <c r="G116" i="3"/>
  <c r="H116" i="3" s="1"/>
  <c r="G115" i="3"/>
  <c r="H115" i="3" s="1"/>
  <c r="D35" i="12" s="1"/>
  <c r="E35" i="12" s="1"/>
  <c r="G122" i="3"/>
  <c r="H122" i="3" s="1"/>
  <c r="G123" i="3"/>
  <c r="H123" i="3" s="1"/>
  <c r="G124" i="3"/>
  <c r="H124" i="3" s="1"/>
  <c r="G125" i="3"/>
  <c r="H125" i="3" s="1"/>
  <c r="G178" i="3"/>
  <c r="D47" i="12" l="1"/>
  <c r="E47" i="12" s="1"/>
  <c r="G177" i="3"/>
  <c r="H177" i="3" s="1"/>
  <c r="G120" i="3"/>
  <c r="H120" i="3" s="1"/>
  <c r="G53" i="7"/>
  <c r="H53" i="7" s="1"/>
  <c r="G202" i="3" l="1"/>
  <c r="H202" i="3" s="1"/>
  <c r="G201" i="3"/>
  <c r="H201" i="3" s="1"/>
  <c r="G200" i="3"/>
  <c r="H200" i="3" s="1"/>
  <c r="G199" i="3"/>
  <c r="H199" i="3" s="1"/>
  <c r="G198" i="3"/>
  <c r="H198" i="3" s="1"/>
  <c r="E23" i="6"/>
  <c r="E22" i="6"/>
  <c r="E21" i="6"/>
  <c r="E19" i="6"/>
  <c r="E10" i="6"/>
  <c r="G214" i="3"/>
  <c r="H214" i="3" s="1"/>
  <c r="G213" i="3"/>
  <c r="H213" i="3" s="1"/>
  <c r="G212" i="3"/>
  <c r="G211" i="3"/>
  <c r="H211" i="3" s="1"/>
  <c r="G210" i="3"/>
  <c r="H210" i="3" s="1"/>
  <c r="G208" i="3"/>
  <c r="H208" i="3" s="1"/>
  <c r="G207" i="3"/>
  <c r="H207" i="3" s="1"/>
  <c r="G206" i="3"/>
  <c r="H206" i="3" s="1"/>
  <c r="G205" i="3"/>
  <c r="G204" i="3"/>
  <c r="H204" i="3" s="1"/>
  <c r="G121" i="3"/>
  <c r="G195" i="3"/>
  <c r="H195" i="3" s="1"/>
  <c r="G194" i="3"/>
  <c r="H194" i="3" s="1"/>
  <c r="G193" i="3"/>
  <c r="G192" i="3"/>
  <c r="H192" i="3" s="1"/>
  <c r="G191" i="3"/>
  <c r="H191" i="3" s="1"/>
  <c r="G188" i="3"/>
  <c r="H188" i="3" s="1"/>
  <c r="G187" i="3"/>
  <c r="H187" i="3" s="1"/>
  <c r="G186" i="3"/>
  <c r="H186" i="3" s="1"/>
  <c r="G185" i="3"/>
  <c r="H185" i="3" s="1"/>
  <c r="G184" i="3"/>
  <c r="H184" i="3" s="1"/>
  <c r="G182" i="3"/>
  <c r="H182" i="3" s="1"/>
  <c r="G181" i="3"/>
  <c r="G180" i="3"/>
  <c r="H180" i="3" s="1"/>
  <c r="G179" i="3"/>
  <c r="H178" i="3"/>
  <c r="G164" i="3"/>
  <c r="H164" i="3" s="1"/>
  <c r="G163" i="3"/>
  <c r="H163" i="3" s="1"/>
  <c r="G162" i="3"/>
  <c r="H162" i="3" s="1"/>
  <c r="G161" i="3"/>
  <c r="H161" i="3" s="1"/>
  <c r="E18" i="6" s="1"/>
  <c r="G160" i="3"/>
  <c r="H160" i="3" s="1"/>
  <c r="D46" i="12" s="1"/>
  <c r="E46" i="12" s="1"/>
  <c r="G158" i="3"/>
  <c r="H158" i="3" s="1"/>
  <c r="G157" i="3"/>
  <c r="G156" i="3"/>
  <c r="H156" i="3" s="1"/>
  <c r="E30" i="6" s="1"/>
  <c r="G155" i="3"/>
  <c r="H155" i="3" s="1"/>
  <c r="G154" i="3"/>
  <c r="H154" i="3" s="1"/>
  <c r="G131" i="3"/>
  <c r="H131" i="3" s="1"/>
  <c r="G130" i="3"/>
  <c r="H130" i="3" s="1"/>
  <c r="G129" i="3"/>
  <c r="H129" i="3" s="1"/>
  <c r="G128" i="3"/>
  <c r="H128" i="3" s="1"/>
  <c r="G127" i="3"/>
  <c r="H127" i="3" s="1"/>
  <c r="G152" i="3"/>
  <c r="H152" i="3" s="1"/>
  <c r="G151" i="3"/>
  <c r="H151" i="3" s="1"/>
  <c r="G150" i="3"/>
  <c r="H150" i="3" s="1"/>
  <c r="G149" i="3"/>
  <c r="H149" i="3" s="1"/>
  <c r="G148" i="3"/>
  <c r="H148" i="3" s="1"/>
  <c r="G145" i="3"/>
  <c r="H145" i="3" s="1"/>
  <c r="G144" i="3"/>
  <c r="H144" i="3" s="1"/>
  <c r="G143" i="3"/>
  <c r="H143" i="3" s="1"/>
  <c r="G142" i="3"/>
  <c r="H142" i="3" s="1"/>
  <c r="G141" i="3"/>
  <c r="G138" i="3"/>
  <c r="H138" i="3" s="1"/>
  <c r="G137" i="3"/>
  <c r="H137" i="3" s="1"/>
  <c r="G136" i="3"/>
  <c r="H136" i="3" s="1"/>
  <c r="G135" i="3"/>
  <c r="H135" i="3" s="1"/>
  <c r="G134" i="3"/>
  <c r="H134" i="3" s="1"/>
  <c r="D39" i="12" s="1"/>
  <c r="G113" i="3"/>
  <c r="H113" i="3" s="1"/>
  <c r="G112" i="3"/>
  <c r="H112" i="3" s="1"/>
  <c r="G111" i="3"/>
  <c r="H111" i="3" s="1"/>
  <c r="G110" i="3"/>
  <c r="H110" i="3" s="1"/>
  <c r="G109" i="3"/>
  <c r="H109" i="3" s="1"/>
  <c r="G107" i="3"/>
  <c r="H107" i="3" s="1"/>
  <c r="G106" i="3"/>
  <c r="H106" i="3" s="1"/>
  <c r="G105" i="3"/>
  <c r="H105" i="3" s="1"/>
  <c r="G104" i="3"/>
  <c r="H104" i="3" s="1"/>
  <c r="G103" i="3"/>
  <c r="G100" i="3"/>
  <c r="H100" i="3" s="1"/>
  <c r="G99" i="3"/>
  <c r="H99" i="3" s="1"/>
  <c r="G98" i="3"/>
  <c r="H98" i="3" s="1"/>
  <c r="G97" i="3"/>
  <c r="H97" i="3" s="1"/>
  <c r="G96" i="3"/>
  <c r="H96" i="3" s="1"/>
  <c r="D31" i="12" s="1"/>
  <c r="E31" i="12" s="1"/>
  <c r="G94" i="3"/>
  <c r="H94" i="3" s="1"/>
  <c r="G93" i="3"/>
  <c r="H93" i="3" s="1"/>
  <c r="G92" i="3"/>
  <c r="H92" i="3" s="1"/>
  <c r="G91" i="3"/>
  <c r="H91" i="3" s="1"/>
  <c r="G90" i="3"/>
  <c r="H90" i="3" s="1"/>
  <c r="G87" i="3"/>
  <c r="H87" i="3" s="1"/>
  <c r="G86" i="3"/>
  <c r="H86" i="3" s="1"/>
  <c r="G85" i="3"/>
  <c r="H85" i="3" s="1"/>
  <c r="G84" i="3"/>
  <c r="H84" i="3" s="1"/>
  <c r="G83" i="3"/>
  <c r="G80" i="3"/>
  <c r="H80" i="3" s="1"/>
  <c r="G79" i="3"/>
  <c r="H79" i="3" s="1"/>
  <c r="G78" i="3"/>
  <c r="H78" i="3" s="1"/>
  <c r="G77" i="3"/>
  <c r="H77" i="3" s="1"/>
  <c r="G76" i="3"/>
  <c r="H76" i="3" s="1"/>
  <c r="G74" i="3"/>
  <c r="H74" i="3" s="1"/>
  <c r="G73" i="3"/>
  <c r="G72" i="3"/>
  <c r="H72" i="3" s="1"/>
  <c r="G71" i="3"/>
  <c r="H71" i="3" s="1"/>
  <c r="G70" i="3"/>
  <c r="H70" i="3" s="1"/>
  <c r="G68" i="3"/>
  <c r="H68" i="3" s="1"/>
  <c r="G67" i="3"/>
  <c r="H67" i="3" s="1"/>
  <c r="G66" i="3"/>
  <c r="H66" i="3" s="1"/>
  <c r="G65" i="3"/>
  <c r="H65" i="3" s="1"/>
  <c r="G64" i="3"/>
  <c r="H64" i="3" s="1"/>
  <c r="G61" i="3"/>
  <c r="H61" i="3" s="1"/>
  <c r="G60" i="3"/>
  <c r="H60" i="3" s="1"/>
  <c r="G59" i="3"/>
  <c r="H59" i="3" s="1"/>
  <c r="G58" i="3"/>
  <c r="H58" i="3" s="1"/>
  <c r="G57" i="3"/>
  <c r="G55" i="3"/>
  <c r="H55" i="3" s="1"/>
  <c r="G54" i="3"/>
  <c r="H54" i="3" s="1"/>
  <c r="G53" i="3"/>
  <c r="H53" i="3" s="1"/>
  <c r="G52" i="3"/>
  <c r="H52" i="3" s="1"/>
  <c r="G51" i="3"/>
  <c r="G48" i="3"/>
  <c r="H48" i="3" s="1"/>
  <c r="G47" i="3"/>
  <c r="H47" i="3" s="1"/>
  <c r="G46" i="3"/>
  <c r="H46" i="3" s="1"/>
  <c r="G45" i="3"/>
  <c r="G44" i="3"/>
  <c r="G42" i="3"/>
  <c r="H42" i="3" s="1"/>
  <c r="G41" i="3"/>
  <c r="H41" i="3" s="1"/>
  <c r="G40" i="3"/>
  <c r="H40" i="3" s="1"/>
  <c r="G39" i="3"/>
  <c r="H39" i="3" s="1"/>
  <c r="E45" i="6" s="1"/>
  <c r="E44" i="6" s="1"/>
  <c r="G38" i="3"/>
  <c r="H38" i="3" s="1"/>
  <c r="G36" i="3"/>
  <c r="H36" i="3" s="1"/>
  <c r="G35" i="3"/>
  <c r="H35" i="3" s="1"/>
  <c r="E13" i="6" s="1"/>
  <c r="G34" i="3"/>
  <c r="H34" i="3" s="1"/>
  <c r="G33" i="3"/>
  <c r="H33" i="3" s="1"/>
  <c r="G32" i="3"/>
  <c r="G29" i="3"/>
  <c r="H29" i="3" s="1"/>
  <c r="G28" i="3"/>
  <c r="H28" i="3" s="1"/>
  <c r="G27" i="3"/>
  <c r="H27" i="3" s="1"/>
  <c r="G26" i="3"/>
  <c r="H26" i="3" s="1"/>
  <c r="G25" i="3"/>
  <c r="H25" i="3" s="1"/>
  <c r="D15" i="12" s="1"/>
  <c r="G22" i="3"/>
  <c r="H22" i="3" s="1"/>
  <c r="G21" i="3"/>
  <c r="H21" i="3" s="1"/>
  <c r="G20" i="3"/>
  <c r="H20" i="3" s="1"/>
  <c r="G19" i="3"/>
  <c r="H19" i="3" s="1"/>
  <c r="G18" i="3"/>
  <c r="G15" i="3"/>
  <c r="H15" i="3" s="1"/>
  <c r="G14" i="3"/>
  <c r="G13" i="3"/>
  <c r="H13" i="3" s="1"/>
  <c r="G12" i="3"/>
  <c r="H12" i="3" s="1"/>
  <c r="G11" i="3"/>
  <c r="H11" i="3" s="1"/>
  <c r="D54" i="12" l="1"/>
  <c r="E54" i="12" s="1"/>
  <c r="D26" i="12"/>
  <c r="E26" i="12" s="1"/>
  <c r="D44" i="12"/>
  <c r="E44" i="12" s="1"/>
  <c r="D34" i="12"/>
  <c r="E34" i="12" s="1"/>
  <c r="D50" i="12"/>
  <c r="E50" i="12" s="1"/>
  <c r="D24" i="12"/>
  <c r="E24" i="12" s="1"/>
  <c r="E39" i="12"/>
  <c r="E38" i="12" s="1"/>
  <c r="E21" i="5" s="1" a="1"/>
  <c r="E21" i="5" s="1"/>
  <c r="D38" i="12"/>
  <c r="E15" i="12"/>
  <c r="E14" i="12" s="1"/>
  <c r="E14" i="5" s="1"/>
  <c r="D14" i="12"/>
  <c r="D18" i="12"/>
  <c r="E18" i="12" s="1"/>
  <c r="D30" i="12"/>
  <c r="D37" i="12"/>
  <c r="E37" i="12" s="1"/>
  <c r="E16" i="6"/>
  <c r="H32" i="3"/>
  <c r="D17" i="12" s="1"/>
  <c r="H38" i="7"/>
  <c r="G38" i="7"/>
  <c r="E11" i="6"/>
  <c r="E50" i="6"/>
  <c r="E43" i="6"/>
  <c r="E17" i="6"/>
  <c r="E42" i="6"/>
  <c r="E20" i="6"/>
  <c r="E58" i="6"/>
  <c r="H179" i="3"/>
  <c r="G171" i="3"/>
  <c r="H171" i="3" s="1"/>
  <c r="H121" i="3"/>
  <c r="D36" i="12" s="1"/>
  <c r="E36" i="12" s="1"/>
  <c r="G126" i="3"/>
  <c r="H126" i="3" s="1"/>
  <c r="E35" i="6"/>
  <c r="E39" i="6"/>
  <c r="E28" i="6"/>
  <c r="E27" i="6"/>
  <c r="E34" i="6"/>
  <c r="E49" i="6"/>
  <c r="E38" i="6"/>
  <c r="E33" i="6"/>
  <c r="E26" i="6"/>
  <c r="E47" i="6"/>
  <c r="H44" i="3"/>
  <c r="G46" i="7"/>
  <c r="H46" i="7"/>
  <c r="G203" i="3"/>
  <c r="E53" i="6"/>
  <c r="E48" i="6"/>
  <c r="E12" i="6"/>
  <c r="G215" i="3"/>
  <c r="H215" i="3" s="1"/>
  <c r="G37" i="3"/>
  <c r="G16" i="3"/>
  <c r="G165" i="3"/>
  <c r="H165" i="3" s="1"/>
  <c r="G81" i="3"/>
  <c r="H81" i="3" s="1"/>
  <c r="G209" i="3"/>
  <c r="H209" i="3" s="1"/>
  <c r="G183" i="3"/>
  <c r="H183" i="3" s="1"/>
  <c r="G101" i="3"/>
  <c r="H101" i="3" s="1"/>
  <c r="G75" i="3"/>
  <c r="H75" i="3" s="1"/>
  <c r="G88" i="3"/>
  <c r="G89" i="3" s="1"/>
  <c r="G108" i="3"/>
  <c r="G139" i="3"/>
  <c r="G132" i="3"/>
  <c r="H132" i="3" s="1"/>
  <c r="G23" i="3"/>
  <c r="G49" i="3"/>
  <c r="H49" i="3" s="1"/>
  <c r="G146" i="3"/>
  <c r="G196" i="3"/>
  <c r="G197" i="3" s="1"/>
  <c r="H197" i="3" s="1"/>
  <c r="G62" i="3"/>
  <c r="H62" i="3" s="1"/>
  <c r="G114" i="3"/>
  <c r="H114" i="3" s="1"/>
  <c r="G30" i="3"/>
  <c r="G69" i="3"/>
  <c r="G159" i="3"/>
  <c r="H159" i="3" s="1"/>
  <c r="G56" i="3"/>
  <c r="G189" i="3"/>
  <c r="H189" i="3" s="1"/>
  <c r="H14" i="3"/>
  <c r="D11" i="12" s="1"/>
  <c r="H18" i="3"/>
  <c r="H45" i="3"/>
  <c r="E15" i="6" s="1"/>
  <c r="H57" i="3"/>
  <c r="D22" i="12" s="1"/>
  <c r="E22" i="12" s="1"/>
  <c r="H73" i="3"/>
  <c r="E37" i="6" s="1"/>
  <c r="H157" i="3"/>
  <c r="D45" i="12" s="1"/>
  <c r="H181" i="3"/>
  <c r="E32" i="6" s="1"/>
  <c r="H193" i="3"/>
  <c r="D52" i="12" s="1"/>
  <c r="H205" i="3"/>
  <c r="E51" i="6" s="1"/>
  <c r="H212" i="3"/>
  <c r="D56" i="12" s="1"/>
  <c r="E56" i="12" s="1"/>
  <c r="G43" i="3"/>
  <c r="H43" i="3" s="1"/>
  <c r="G95" i="3"/>
  <c r="G153" i="3"/>
  <c r="H51" i="3"/>
  <c r="H83" i="3"/>
  <c r="H103" i="3"/>
  <c r="H141" i="3"/>
  <c r="D41" i="12" s="1"/>
  <c r="D49" i="12" l="1"/>
  <c r="E49" i="12" s="1"/>
  <c r="E45" i="12"/>
  <c r="E11" i="12"/>
  <c r="E10" i="12" s="1"/>
  <c r="D10" i="12"/>
  <c r="E52" i="12"/>
  <c r="E51" i="12" s="1"/>
  <c r="E25" i="5" s="1"/>
  <c r="D51" i="12"/>
  <c r="D55" i="12"/>
  <c r="D19" i="12"/>
  <c r="E19" i="12" s="1"/>
  <c r="E41" i="12"/>
  <c r="E40" i="12" s="1"/>
  <c r="E22" i="5" s="1"/>
  <c r="D40" i="12"/>
  <c r="E25" i="6"/>
  <c r="D33" i="12"/>
  <c r="E30" i="12"/>
  <c r="E29" i="12" s="1"/>
  <c r="E19" i="5" s="1"/>
  <c r="D29" i="12"/>
  <c r="E55" i="6"/>
  <c r="E54" i="6" s="1"/>
  <c r="D28" i="12"/>
  <c r="E14" i="6"/>
  <c r="D13" i="12"/>
  <c r="E17" i="12"/>
  <c r="D25" i="12"/>
  <c r="E57" i="6"/>
  <c r="E56" i="6" s="1"/>
  <c r="D21" i="12"/>
  <c r="E41" i="6"/>
  <c r="E29" i="6"/>
  <c r="G102" i="3"/>
  <c r="H102" i="3" s="1"/>
  <c r="G190" i="3"/>
  <c r="H190" i="3" s="1"/>
  <c r="G82" i="3"/>
  <c r="H82" i="3" s="1"/>
  <c r="H203" i="3"/>
  <c r="G216" i="3"/>
  <c r="H216" i="3" s="1"/>
  <c r="G147" i="3"/>
  <c r="H147" i="3" s="1"/>
  <c r="G140" i="3"/>
  <c r="H140" i="3" s="1"/>
  <c r="H108" i="3"/>
  <c r="G133" i="3"/>
  <c r="H133" i="3" s="1"/>
  <c r="H37" i="3"/>
  <c r="G50" i="3"/>
  <c r="H50" i="3" s="1"/>
  <c r="G24" i="3"/>
  <c r="H24" i="3" s="1"/>
  <c r="H56" i="3"/>
  <c r="G63" i="3"/>
  <c r="H63" i="3" s="1"/>
  <c r="H16" i="3"/>
  <c r="G17" i="3"/>
  <c r="G31" i="3"/>
  <c r="H31" i="3" s="1"/>
  <c r="E9" i="6"/>
  <c r="E31" i="6"/>
  <c r="E52" i="6"/>
  <c r="E46" i="6" s="1"/>
  <c r="E40" i="6"/>
  <c r="E36" i="6" s="1"/>
  <c r="H196" i="3"/>
  <c r="H89" i="3"/>
  <c r="H139" i="3"/>
  <c r="H88" i="3"/>
  <c r="H30" i="3"/>
  <c r="H146" i="3"/>
  <c r="H69" i="3"/>
  <c r="H23" i="3"/>
  <c r="H95" i="3"/>
  <c r="H153" i="3"/>
  <c r="E43" i="12" l="1"/>
  <c r="E24" i="5" s="1"/>
  <c r="D43" i="12"/>
  <c r="E8" i="6"/>
  <c r="E24" i="6"/>
  <c r="E55" i="12"/>
  <c r="E53" i="12" s="1"/>
  <c r="E26" i="5" s="1"/>
  <c r="D53" i="12"/>
  <c r="D16" i="12"/>
  <c r="E25" i="12"/>
  <c r="E23" i="12" s="1"/>
  <c r="E17" i="5" s="1"/>
  <c r="D23" i="12"/>
  <c r="E16" i="12"/>
  <c r="E15" i="5" s="1"/>
  <c r="E33" i="12"/>
  <c r="E32" i="12" s="1"/>
  <c r="E20" i="5" s="1"/>
  <c r="D32" i="12"/>
  <c r="E12" i="5"/>
  <c r="E13" i="12"/>
  <c r="E12" i="12" s="1"/>
  <c r="E13" i="5" s="1"/>
  <c r="D12" i="12"/>
  <c r="E21" i="12"/>
  <c r="E20" i="12" s="1"/>
  <c r="E16" i="5" s="1"/>
  <c r="D20" i="12"/>
  <c r="E28" i="12"/>
  <c r="E27" i="12" s="1"/>
  <c r="E18" i="5" s="1"/>
  <c r="D27" i="12"/>
  <c r="H17" i="3"/>
  <c r="H217" i="3" s="1"/>
  <c r="H60" i="6" s="1" a="1"/>
  <c r="H60" i="6" s="1"/>
  <c r="G217" i="3"/>
  <c r="G218" i="3" s="1"/>
  <c r="G219" i="3" s="1"/>
  <c r="D42" i="12" l="1"/>
  <c r="E60" i="6"/>
  <c r="I60" i="6" s="1"/>
  <c r="D9" i="12"/>
  <c r="E9" i="12"/>
  <c r="E42" i="12"/>
  <c r="E11" i="5"/>
  <c r="H218" i="3"/>
  <c r="H61" i="6" s="1"/>
  <c r="E23" i="5"/>
  <c r="D57" i="12" l="1"/>
  <c r="E61" i="6"/>
  <c r="I61" i="6" s="1"/>
  <c r="E57" i="12"/>
  <c r="H219" i="3"/>
  <c r="H57" i="12" s="1"/>
  <c r="E28" i="5"/>
  <c r="I57" i="12" l="1"/>
  <c r="E62" i="6"/>
  <c r="H28" i="5"/>
  <c r="I28" i="5" s="1"/>
  <c r="H62" i="6"/>
  <c r="I62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natig.veliev</author>
  </authors>
  <commentList>
    <comment ref="C115" authorId="0" shapeId="0" xr:uid="{E208DBAE-EE18-4F56-B34A-290924D748F8}">
      <text>
        <r>
          <rPr>
            <b/>
            <sz val="9"/>
            <color indexed="81"/>
            <rFont val="Tahoma"/>
            <family val="2"/>
          </rPr>
          <t xml:space="preserve">Tip: 
</t>
        </r>
        <r>
          <rPr>
            <sz val="9"/>
            <color indexed="81"/>
            <rFont val="Tahoma"/>
            <family val="2"/>
          </rPr>
          <t>Specify quantity of a budgeted line item, assumed as =1 if not indicated</t>
        </r>
      </text>
    </comment>
    <comment ref="F115" authorId="0" shapeId="0" xr:uid="{311C678C-579D-46FB-B1AF-0A1983129688}">
      <text>
        <r>
          <rPr>
            <b/>
            <sz val="9"/>
            <color indexed="81"/>
            <rFont val="Tahoma"/>
            <family val="2"/>
          </rPr>
          <t xml:space="preserve">Tip:
</t>
        </r>
        <r>
          <rPr>
            <sz val="9"/>
            <color indexed="81"/>
            <rFont val="Tahoma"/>
            <family val="2"/>
          </rPr>
          <t>if blank system will assign the default account: 841 - Operational Provisions</t>
        </r>
      </text>
    </comment>
    <comment ref="G115" authorId="0" shapeId="0" xr:uid="{63097924-194D-4C1D-8B8F-CC03DD35B3CD}">
      <text>
        <r>
          <rPr>
            <b/>
            <sz val="9"/>
            <color indexed="81"/>
            <rFont val="Tahoma"/>
            <family val="2"/>
          </rPr>
          <t>Tip:</t>
        </r>
        <r>
          <rPr>
            <sz val="9"/>
            <color indexed="81"/>
            <rFont val="Tahoma"/>
            <family val="2"/>
          </rPr>
          <t xml:space="preserve">
if blank system will automatically assign default A000 activity or an activity based on Column A (indicated results and activities)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862239-2948-4749-82C1-C118E1E479D3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445F5E1-3B44-46D6-BDD0-51BD8984A90A}" name="WorksheetConnection_DREF budget template 2021.xlsx!BUDGET" type="102" refreshedVersion="8" minRefreshableVersion="5">
    <extLst>
      <ext xmlns:x15="http://schemas.microsoft.com/office/spreadsheetml/2010/11/main" uri="{DE250136-89BD-433C-8126-D09CA5730AF9}">
        <x15:connection id="BUDGET">
          <x15:rangePr sourceName="_xlcn.WorksheetConnection_DREFbudgettemplate2021.xlsxBUDGET1"/>
        </x15:connection>
      </ext>
    </extLst>
  </connection>
  <connection id="3" xr16:uid="{28B762FD-F909-45AB-83B4-D9571CE7BE4E}" name="WorksheetConnection_DREF budget template 2021.xlsx!OUTPUTS" type="102" refreshedVersion="8" minRefreshableVersion="5">
    <extLst>
      <ext xmlns:x15="http://schemas.microsoft.com/office/spreadsheetml/2010/11/main" uri="{DE250136-89BD-433C-8126-D09CA5730AF9}">
        <x15:connection id="OUTPUTS">
          <x15:rangePr sourceName="_xlcn.WorksheetConnection_DREFbudgettemplate2021.xlsxOUTPUT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<sst xmlns="http://schemas.openxmlformats.org/spreadsheetml/2006/main" count="1268" uniqueCount="474">
  <si>
    <t xml:space="preserve">International Federation of Red Cross and Red Crescent Societies </t>
  </si>
  <si>
    <t>V2022.01</t>
  </si>
  <si>
    <t>DREF budget tool for National Societies</t>
  </si>
  <si>
    <t>DREF202101</t>
  </si>
  <si>
    <t>National Society</t>
  </si>
  <si>
    <t>Appeal Code</t>
  </si>
  <si>
    <t>Date</t>
  </si>
  <si>
    <t>name of National Society (Country of operation)</t>
  </si>
  <si>
    <t>MDRCCxxx</t>
  </si>
  <si>
    <t>dd/mm/yyyy</t>
  </si>
  <si>
    <t>Operation</t>
  </si>
  <si>
    <t>Currency  (LC)    &amp;</t>
  </si>
  <si>
    <t>Exchange Rate</t>
  </si>
  <si>
    <t>name of operation as published</t>
  </si>
  <si>
    <t>CCX</t>
  </si>
  <si>
    <t>Output
Code</t>
  </si>
  <si>
    <t>Description</t>
  </si>
  <si>
    <t>Budget
Group</t>
  </si>
  <si>
    <t>Quantity</t>
  </si>
  <si>
    <t>Unit</t>
  </si>
  <si>
    <t>Unit
Cost</t>
  </si>
  <si>
    <t>Total Cost LC</t>
  </si>
  <si>
    <t>Total Cost CHF</t>
  </si>
  <si>
    <t>AP005</t>
  </si>
  <si>
    <t>TOT_AP005</t>
  </si>
  <si>
    <t>Shelter assistance to households</t>
  </si>
  <si>
    <t>PO01</t>
  </si>
  <si>
    <t>Shelter and Basic Household Items</t>
  </si>
  <si>
    <t>AP007</t>
  </si>
  <si>
    <t>TOT_AP007</t>
  </si>
  <si>
    <t>Improvement of income sources</t>
  </si>
  <si>
    <t>PO02</t>
  </si>
  <si>
    <t xml:space="preserve">Livelihoods </t>
  </si>
  <si>
    <t>AP081</t>
  </si>
  <si>
    <t>r</t>
  </si>
  <si>
    <t>TOT_AP081</t>
  </si>
  <si>
    <t>Multi-purpose cash grants</t>
  </si>
  <si>
    <t>PO03</t>
  </si>
  <si>
    <t>Multi-purpose Cash</t>
  </si>
  <si>
    <t>AP107</t>
  </si>
  <si>
    <t>TOT_AP107</t>
  </si>
  <si>
    <t>NS health capacity</t>
  </si>
  <si>
    <t>AP108</t>
  </si>
  <si>
    <t>TOT_AP108</t>
  </si>
  <si>
    <t>Health services</t>
  </si>
  <si>
    <t>AP109</t>
  </si>
  <si>
    <t>TOT_AP109</t>
  </si>
  <si>
    <t>Health services in emergencies</t>
  </si>
  <si>
    <t>PO04</t>
  </si>
  <si>
    <t>Health</t>
  </si>
  <si>
    <t>AP110</t>
  </si>
  <si>
    <t>TOT_AP110</t>
  </si>
  <si>
    <t>WASH</t>
  </si>
  <si>
    <t>AP111</t>
  </si>
  <si>
    <t>TOT_AP111</t>
  </si>
  <si>
    <t>WASH in emergencies</t>
  </si>
  <si>
    <t>PO05</t>
  </si>
  <si>
    <t>Water, Sanitation &amp; Hygiene</t>
  </si>
  <si>
    <t>AP114</t>
  </si>
  <si>
    <t>TOT_AP114</t>
  </si>
  <si>
    <t>Humanitarian values and principles</t>
  </si>
  <si>
    <t>AP116</t>
  </si>
  <si>
    <t>TOT_AP116</t>
  </si>
  <si>
    <t>Protection/gender/inclusion services</t>
  </si>
  <si>
    <t>AP117</t>
  </si>
  <si>
    <t>TOT_AP117</t>
  </si>
  <si>
    <t>Protection/gender/inclusion capacity</t>
  </si>
  <si>
    <t>PO06</t>
  </si>
  <si>
    <t>Protection, Gender and Inclusion</t>
  </si>
  <si>
    <t>AP115</t>
  </si>
  <si>
    <t>TOT_AP115</t>
  </si>
  <si>
    <t>Access to education</t>
  </si>
  <si>
    <t>PO07</t>
  </si>
  <si>
    <t>Education</t>
  </si>
  <si>
    <t>AP112</t>
  </si>
  <si>
    <t>TOT_AP112</t>
  </si>
  <si>
    <t>Support to migrants and displaced</t>
  </si>
  <si>
    <t>AP113</t>
  </si>
  <si>
    <t>TOT_AP113</t>
  </si>
  <si>
    <t>NS Migration &amp; Displacement Capacity</t>
  </si>
  <si>
    <t>PO08</t>
  </si>
  <si>
    <t>Migration</t>
  </si>
  <si>
    <t>AP101</t>
  </si>
  <si>
    <t>TOT_AP101</t>
  </si>
  <si>
    <t>Climate change adaptation</t>
  </si>
  <si>
    <t>AP103</t>
  </si>
  <si>
    <t>TOT_AP103</t>
  </si>
  <si>
    <t>Comm. risk reduction and resilience</t>
  </si>
  <si>
    <t>AP104</t>
  </si>
  <si>
    <t>TOT_AP104</t>
  </si>
  <si>
    <t>Assistance to people affected</t>
  </si>
  <si>
    <t>AP105</t>
  </si>
  <si>
    <t>TOT_AP105</t>
  </si>
  <si>
    <t>National Society Disaster Management Capacity</t>
  </si>
  <si>
    <t>AP106</t>
  </si>
  <si>
    <t>TOT_AP106</t>
  </si>
  <si>
    <t>Disaster Law</t>
  </si>
  <si>
    <t>PO09</t>
  </si>
  <si>
    <t>Risk Reduction, Climate Adaptation and Recovery</t>
  </si>
  <si>
    <t>AP129</t>
  </si>
  <si>
    <t>TOT_AP129</t>
  </si>
  <si>
    <t>Community engagement/accountability</t>
  </si>
  <si>
    <t>PO10</t>
  </si>
  <si>
    <t>Community Engagement and Accountability</t>
  </si>
  <si>
    <t>AP102</t>
  </si>
  <si>
    <t>TOT_AP102</t>
  </si>
  <si>
    <t>Climate change mitigation&amp;greening</t>
  </si>
  <si>
    <t>PO11</t>
  </si>
  <si>
    <t>Environmental Sustainability</t>
  </si>
  <si>
    <t>AP049</t>
  </si>
  <si>
    <t>TOT_AP049</t>
  </si>
  <si>
    <t>IFRC coord. in humanitarian system</t>
  </si>
  <si>
    <t>AP118</t>
  </si>
  <si>
    <t>TOT_AP118</t>
  </si>
  <si>
    <t>Engagement w. stakeholders</t>
  </si>
  <si>
    <t>AP119</t>
  </si>
  <si>
    <t>TOT_AP119</t>
  </si>
  <si>
    <t>Influencing and hum. diplomacy</t>
  </si>
  <si>
    <t>AP120</t>
  </si>
  <si>
    <t>TOT_AP120</t>
  </si>
  <si>
    <t>Innovation</t>
  </si>
  <si>
    <t>AP121</t>
  </si>
  <si>
    <t>TOT_AP121</t>
  </si>
  <si>
    <t>Digital Transformation</t>
  </si>
  <si>
    <t>AP127</t>
  </si>
  <si>
    <t>TOT_AP127</t>
  </si>
  <si>
    <t>Membership Coordination</t>
  </si>
  <si>
    <t>AP128</t>
  </si>
  <si>
    <t>TOT_AP128</t>
  </si>
  <si>
    <t>Movement Cooperation</t>
  </si>
  <si>
    <t>EA01</t>
  </si>
  <si>
    <t>Coordination and Partnerships</t>
  </si>
  <si>
    <t>AP122</t>
  </si>
  <si>
    <t>TOT_AP122</t>
  </si>
  <si>
    <t>Secretariat services strengthening</t>
  </si>
  <si>
    <t>EA02</t>
  </si>
  <si>
    <t>Secretariat Services</t>
  </si>
  <si>
    <t>AP124</t>
  </si>
  <si>
    <t>TOT_AP124</t>
  </si>
  <si>
    <t>National Society Development</t>
  </si>
  <si>
    <t>AP125</t>
  </si>
  <si>
    <t>TOT_AP125</t>
  </si>
  <si>
    <t>Volunteering development</t>
  </si>
  <si>
    <t>AP126</t>
  </si>
  <si>
    <t>TOT_AP126</t>
  </si>
  <si>
    <t>Leadership development</t>
  </si>
  <si>
    <t>EA03</t>
  </si>
  <si>
    <t>DIRECT COSTS total</t>
  </si>
  <si>
    <t>INDIRECT COSTS</t>
  </si>
  <si>
    <t>TOTAL BUDGET</t>
  </si>
  <si>
    <t>DREF OPERATION</t>
  </si>
  <si>
    <t>Operating Budget</t>
  </si>
  <si>
    <t>Planned Operations</t>
  </si>
  <si>
    <t>Enabling Approaches</t>
  </si>
  <si>
    <t>National Society Strengthening</t>
  </si>
  <si>
    <t>check</t>
  </si>
  <si>
    <t xml:space="preserve">TOTAL BUDGET </t>
  </si>
  <si>
    <t>all amounts in Swiss Francs (CHF)</t>
  </si>
  <si>
    <t>Operating Budget by Output Codes</t>
  </si>
  <si>
    <t>Total</t>
  </si>
  <si>
    <t>Multipurpose cash grants</t>
  </si>
  <si>
    <t>Risk Red., Climate Adapt. and Recovery</t>
  </si>
  <si>
    <t>NS DM Capacity</t>
  </si>
  <si>
    <t>Community Engage. and Accountability</t>
  </si>
  <si>
    <t>Budget Group</t>
  </si>
  <si>
    <t>CHF Value</t>
  </si>
  <si>
    <t>&lt;= filter to remove 0 lines &amp; fit on one page</t>
  </si>
  <si>
    <t>RELIEF ITEMS, CONSTRUCTION, SUPPLIES</t>
  </si>
  <si>
    <t>Shelter - Relief</t>
  </si>
  <si>
    <t>Shelter - Transitional</t>
  </si>
  <si>
    <t>Construction - Housing</t>
  </si>
  <si>
    <t>Construction - Facilities</t>
  </si>
  <si>
    <t>Construction Materials</t>
  </si>
  <si>
    <t>Clothing &amp; Textiles</t>
  </si>
  <si>
    <t>Food</t>
  </si>
  <si>
    <t>Seeds &amp; Plants</t>
  </si>
  <si>
    <t>Medical &amp; First Aid</t>
  </si>
  <si>
    <t>Teaching Materials</t>
  </si>
  <si>
    <t>Utensils &amp; Tools</t>
  </si>
  <si>
    <t>Other Supplies &amp; Services</t>
  </si>
  <si>
    <t>Emergency Response Units</t>
  </si>
  <si>
    <t>Cash Disbursment</t>
  </si>
  <si>
    <t>LAND, VEHICLE &amp; EQUIPMENT</t>
  </si>
  <si>
    <t>Land &amp; Buildings</t>
  </si>
  <si>
    <t>Vehicles</t>
  </si>
  <si>
    <t>Computers &amp; Telecom</t>
  </si>
  <si>
    <t>Office &amp; Household Equipment</t>
  </si>
  <si>
    <t>Medical Equipment</t>
  </si>
  <si>
    <t>Other Machinery &amp; Equipment</t>
  </si>
  <si>
    <t>LOGISTICS, TRANSPORT AND STORAGE</t>
  </si>
  <si>
    <t>Storage</t>
  </si>
  <si>
    <t>Distribution &amp; Monitoring</t>
  </si>
  <si>
    <t>Transport &amp; Vehicles Costs</t>
  </si>
  <si>
    <t>Logistics Services</t>
  </si>
  <si>
    <t>PERSONNEL</t>
  </si>
  <si>
    <t>International Staff</t>
  </si>
  <si>
    <t>National Staff</t>
  </si>
  <si>
    <t>National Society Staff</t>
  </si>
  <si>
    <t>Volunteers</t>
  </si>
  <si>
    <t>CONSULTANTS &amp; PROFESSIONAL FEES</t>
  </si>
  <si>
    <t>Consultants</t>
  </si>
  <si>
    <t>Professional Fees</t>
  </si>
  <si>
    <t>WORKSHOPS &amp; TRAINING</t>
  </si>
  <si>
    <t>Workshops &amp; Training</t>
  </si>
  <si>
    <t>GENERAL EXPENDITURE</t>
  </si>
  <si>
    <t>Travel</t>
  </si>
  <si>
    <t>Information &amp; Public Relations</t>
  </si>
  <si>
    <t>Office Costs</t>
  </si>
  <si>
    <t>Communications</t>
  </si>
  <si>
    <t>Financial Charges</t>
  </si>
  <si>
    <t>Other General Expenses</t>
  </si>
  <si>
    <t>Shared Office and Services Costs</t>
  </si>
  <si>
    <t>DEPRECIATION</t>
  </si>
  <si>
    <t>Assets Depreciation</t>
  </si>
  <si>
    <t>CASH TRANSFERS TO PARTNERS</t>
  </si>
  <si>
    <t>Cash Transfers National Societies</t>
  </si>
  <si>
    <t>Cash Transfers to 3rd Parties</t>
  </si>
  <si>
    <t>total checks</t>
  </si>
  <si>
    <t>DIRECT COSTS TOTAL</t>
  </si>
  <si>
    <t>IFRC - BUDGET GROUPS</t>
  </si>
  <si>
    <t>Budget Code</t>
  </si>
  <si>
    <t>Budget Code Name</t>
  </si>
  <si>
    <r>
      <rPr>
        <sz val="8"/>
        <color theme="0"/>
        <rFont val="Open Sans"/>
        <family val="2"/>
      </rPr>
      <t xml:space="preserve">Category used for </t>
    </r>
    <r>
      <rPr>
        <b/>
        <sz val="8"/>
        <color theme="0"/>
        <rFont val="Open Sans"/>
        <family val="2"/>
      </rPr>
      <t>Supplies to Beneficiaries</t>
    </r>
  </si>
  <si>
    <t>Tents, Tarpaulins, Shelter Tool Kits, Iron Sheets etc.</t>
  </si>
  <si>
    <t>Transitional Shelter, material and cash disbursments</t>
  </si>
  <si>
    <t>Construction costs of permanent housing, housing cash disbursments</t>
  </si>
  <si>
    <t>Construction costs for education, health, community, warehouse facilities</t>
  </si>
  <si>
    <t>Other Construction material: Timber, Paint, Hardware</t>
  </si>
  <si>
    <t>Blankets, Sheets, Mattresses, Clothes, Mosquito Nets, Footwear</t>
  </si>
  <si>
    <t>Cereals, Vegetables, High Energy Biscuits, MREs, Food Parcels</t>
  </si>
  <si>
    <t>Seeds, Plants, Fertilizers, Livestock and Animal feed</t>
  </si>
  <si>
    <t>Drinking Water, Water Tanks, Purification, Latrines, WatSan Equipement, Hygiene Parcels, Baby Parcels, Soap</t>
  </si>
  <si>
    <t>Vaccines, Drugs, Medical Equipment, Kits (First Aid, Cholera, PPE)</t>
  </si>
  <si>
    <t>Books, Teaching Materials and Equipment</t>
  </si>
  <si>
    <t>Tools, Drums, Jerrycans, Buckets, Cocking Equipment, Kitchen Sets</t>
  </si>
  <si>
    <t>Heating, Family Kits, Burial Costs and other</t>
  </si>
  <si>
    <t>ERU costs funded by IFRC (as per agreement and ERU NS invoice)</t>
  </si>
  <si>
    <t>All CTP costs (cash, vouchers, 3rd party)</t>
  </si>
  <si>
    <r>
      <t>Procurement of IFRC non capital assests</t>
    </r>
    <r>
      <rPr>
        <sz val="8"/>
        <color theme="0"/>
        <rFont val="Open Sans"/>
        <family val="2"/>
      </rPr>
      <t xml:space="preserve"> or items of capital nature </t>
    </r>
    <r>
      <rPr>
        <b/>
        <sz val="8"/>
        <color theme="0"/>
        <rFont val="Open Sans"/>
        <family val="2"/>
      </rPr>
      <t>not owned by the IFRC</t>
    </r>
    <r>
      <rPr>
        <sz val="8"/>
        <color theme="0"/>
        <rFont val="Open Sans"/>
        <family val="2"/>
      </rPr>
      <t xml:space="preserve"> (NS Assets)</t>
    </r>
  </si>
  <si>
    <t>Budget group used for:</t>
  </si>
  <si>
    <r>
      <rPr>
        <b/>
        <sz val="9"/>
        <color theme="1"/>
        <rFont val="Open Sans"/>
        <family val="2"/>
      </rPr>
      <t>IFRC NON CAPITAL ASSETS</t>
    </r>
    <r>
      <rPr>
        <sz val="9"/>
        <color theme="1"/>
        <rFont val="Open Sans"/>
        <family val="2"/>
      </rPr>
      <t xml:space="preserve"> - equipment with a minimum value of CHF 10,000</t>
    </r>
  </si>
  <si>
    <t>and maximum value of CHF 9,999 per item</t>
  </si>
  <si>
    <r>
      <rPr>
        <b/>
        <sz val="9"/>
        <color theme="1"/>
        <rFont val="Open Sans"/>
        <family val="2"/>
      </rPr>
      <t>ITEMS OF CAPITALE NATURE</t>
    </r>
    <r>
      <rPr>
        <sz val="9"/>
        <color theme="1"/>
        <rFont val="Open Sans"/>
        <family val="2"/>
      </rPr>
      <t xml:space="preserve"> - not owned by the IFRC (above CHF 10,000/item)</t>
    </r>
  </si>
  <si>
    <t>a) immediate donation to the National Society</t>
  </si>
  <si>
    <t>b) over which the IFRC will not be in a position to exercise management control</t>
  </si>
  <si>
    <t>All costs pertaining to Warehousing, Transport, Vehicles and Logistics Services</t>
  </si>
  <si>
    <t>Warhousing, Rubbhalls, Loading/Unloading, Warehousing Equipment, Inspection, Custom Fees, Rental, Warehousing Maintenance</t>
  </si>
  <si>
    <t>Contracted Distribution Services, Shipping Costs, Airfreight, Transport Insurance and Claims, Rail/Road Transport</t>
  </si>
  <si>
    <t>Vehicles Costs (fuel, maintenance, spare parts, insurance) and Vehicle rentals (car, truck, aeroplane/helicopter charter), VRP leasing</t>
  </si>
  <si>
    <t>Logistics Service Fees, Fleet Management Fee, Fleet Service Fee</t>
  </si>
  <si>
    <r>
      <t>Contractual Costs</t>
    </r>
    <r>
      <rPr>
        <sz val="8"/>
        <color theme="0"/>
        <rFont val="Open Sans"/>
        <family val="2"/>
      </rPr>
      <t xml:space="preserve"> (for IFRC and National Staff) and National Society/Volunteer staff costs - </t>
    </r>
    <r>
      <rPr>
        <u/>
        <sz val="8"/>
        <color theme="0"/>
        <rFont val="Open Sans"/>
        <family val="2"/>
      </rPr>
      <t>should not include activity costs such as travel (travel accomodation, perdiem)</t>
    </r>
  </si>
  <si>
    <t>International contracted staff - IFRC or National Society Staff on Loan recruited internationally</t>
  </si>
  <si>
    <t>IFRC Country Office National Staff - contractual costs per country laws</t>
  </si>
  <si>
    <t>National Society staff costs which IFRC has agreed to reimburse as agreed with the National Society</t>
  </si>
  <si>
    <t>Volunteers incentive and other benefits (t-shirts)</t>
  </si>
  <si>
    <r>
      <rPr>
        <sz val="8"/>
        <color theme="0"/>
        <rFont val="Open Sans"/>
        <family val="2"/>
      </rPr>
      <t xml:space="preserve">Contractual arrangement with </t>
    </r>
    <r>
      <rPr>
        <b/>
        <sz val="8"/>
        <color theme="0"/>
        <rFont val="Open Sans"/>
        <family val="2"/>
      </rPr>
      <t>professional expert</t>
    </r>
    <r>
      <rPr>
        <sz val="8"/>
        <color theme="0"/>
        <rFont val="Open Sans"/>
        <family val="2"/>
      </rPr>
      <t xml:space="preserve"> to implement a specific projec or component of a project</t>
    </r>
  </si>
  <si>
    <t>Contractual arrangement with an individual</t>
  </si>
  <si>
    <t>Contractual arrangement with a professional company</t>
  </si>
  <si>
    <t>For all Workshops, Trainings, Statutory Meetings</t>
  </si>
  <si>
    <r>
      <t xml:space="preserve">Cost related to the renting of venue, registration fees, catering services - this </t>
    </r>
    <r>
      <rPr>
        <u/>
        <sz val="9"/>
        <color theme="1"/>
        <rFont val="Open Sans"/>
        <family val="2"/>
      </rPr>
      <t>does not include travel cost of participants which should be budgeted under Travel</t>
    </r>
  </si>
  <si>
    <t>General Expenses</t>
  </si>
  <si>
    <t>All Travel related expenses (regardless of purpose) - tickets, visa, accomodation, perdiem</t>
  </si>
  <si>
    <t>Publising Costs (Writing, Editing, Translations, Printing, Design); PR Activities (Events, Materials, Representation Expenses, Souvenirs); Purchase of publications (Books, Newspapers, Subscriptions)</t>
  </si>
  <si>
    <r>
      <t xml:space="preserve">Office Rent, Stationary, Photocopy, Office Equipment and Maintenance, Cleaning and Insurance </t>
    </r>
    <r>
      <rPr>
        <u/>
        <sz val="9"/>
        <color theme="1"/>
        <rFont val="Open Sans"/>
        <family val="2"/>
      </rPr>
      <t>which are not already included in the country's Shared Office and Services Costs Budget</t>
    </r>
  </si>
  <si>
    <t>Postage, Courier, Phone, Mobile, Internet, Satellite</t>
  </si>
  <si>
    <t>Banking Charges, Foreign Exchange gain/loss provisions, Other Financial fees</t>
  </si>
  <si>
    <t>Sundry Expenses</t>
  </si>
  <si>
    <t>Shared Office and Services Cost allocation as applicable</t>
  </si>
  <si>
    <t>IFRC Assets Depreciation</t>
  </si>
  <si>
    <t>Depreciation costs of IFRC Assets : vehicles, generators, office equipment, software, buildings</t>
  </si>
  <si>
    <r>
      <rPr>
        <sz val="8"/>
        <color theme="0"/>
        <rFont val="Open Sans"/>
        <family val="2"/>
      </rPr>
      <t xml:space="preserve">Contributions or Transers made to </t>
    </r>
    <r>
      <rPr>
        <b/>
        <sz val="8"/>
        <color theme="0"/>
        <rFont val="Open Sans"/>
        <family val="2"/>
      </rPr>
      <t>Partners</t>
    </r>
    <r>
      <rPr>
        <sz val="8"/>
        <color theme="0"/>
        <rFont val="Open Sans"/>
        <family val="2"/>
      </rPr>
      <t xml:space="preserve"> who are implementing part or a component of a project</t>
    </r>
  </si>
  <si>
    <t>Partners are National Societies</t>
  </si>
  <si>
    <t>Partners are any other NGO, UN Agency, ICRC or other</t>
  </si>
  <si>
    <t>Guidelines</t>
  </si>
  <si>
    <t>The Workbook needs to be saved as a .xlsm (macro-enabled workbook)</t>
  </si>
  <si>
    <t>Purpose</t>
  </si>
  <si>
    <r>
      <t xml:space="preserve">The </t>
    </r>
    <r>
      <rPr>
        <b/>
        <sz val="10"/>
        <color rgb="FF323232"/>
        <rFont val="Open Sans"/>
        <family val="2"/>
      </rPr>
      <t>[DREF budget template]</t>
    </r>
    <r>
      <rPr>
        <sz val="10"/>
        <color theme="1"/>
        <rFont val="Open Sans"/>
        <family val="2"/>
      </rPr>
      <t xml:space="preserve"> is a budget tool designed for National Societies when applying for DREF funding.</t>
    </r>
  </si>
  <si>
    <t>It is structured in accordance with the IFRC's planning matrix to the level of output code; and by resources required to implement the plan as per the IFRC's budget groups.</t>
  </si>
  <si>
    <t>This template allows for an easy conversion to the IFRC's budget tool FedBudget.</t>
  </si>
  <si>
    <t>Fedbudget</t>
  </si>
  <si>
    <r>
      <t xml:space="preserve">The </t>
    </r>
    <r>
      <rPr>
        <b/>
        <sz val="10"/>
        <color rgb="FF323232"/>
        <rFont val="Open Sans"/>
        <family val="2"/>
      </rPr>
      <t>[DREF budget template]</t>
    </r>
    <r>
      <rPr>
        <sz val="10"/>
        <color theme="1"/>
        <rFont val="Open Sans"/>
        <family val="2"/>
      </rPr>
      <t xml:space="preserve"> does not replace the IFRC's standard budgeting template </t>
    </r>
    <r>
      <rPr>
        <b/>
        <sz val="10"/>
        <color rgb="FF323232"/>
        <rFont val="Open Sans"/>
        <family val="2"/>
      </rPr>
      <t>[FedBudget]</t>
    </r>
    <r>
      <rPr>
        <sz val="10"/>
        <color theme="1"/>
        <rFont val="Open Sans"/>
        <family val="2"/>
      </rPr>
      <t>, official budget tool to be used by IFRC Project Managers with support from Finance for all IFRC Projects Operating Budgets.</t>
    </r>
  </si>
  <si>
    <t>The FedBudget template and tutorial videos can be found on FedNet at:</t>
  </si>
  <si>
    <t>https://fednet.ifrc.org/en/support/finance1/systems-access/FedBudget/</t>
  </si>
  <si>
    <t>Workbook sheets</t>
  </si>
  <si>
    <t>budget_tool</t>
  </si>
  <si>
    <t>This is the main sheet to be completed by the National Society and reviewed by the IFRC Project Manager.</t>
  </si>
  <si>
    <t>Header</t>
  </si>
  <si>
    <t>The first part of the [budget_tool] is the header where following information should be provided:</t>
  </si>
  <si>
    <t>Name of the National Society (Coutry) for which the budget is drafted</t>
  </si>
  <si>
    <t>Name of the Operation for which the budget is drafted</t>
  </si>
  <si>
    <t>Date at which the budget is drafted</t>
  </si>
  <si>
    <t>Local Currency (LC)</t>
  </si>
  <si>
    <t>Currency in which the budget is drafted</t>
  </si>
  <si>
    <t>Exchange rate to convert the budget into Swiss Francs (CHF) 
recommended rate : Oanda.com per date at which the budget is drafted</t>
  </si>
  <si>
    <t>If available, else to be subsequently added by the IFRC Project Manager</t>
  </si>
  <si>
    <t>Budget Table</t>
  </si>
  <si>
    <t>The budget table is broken down by ouput code (grouped by thematic for reporting purposes)</t>
  </si>
  <si>
    <t>Each Output code has 6 budget lines, more can be added if required.</t>
  </si>
  <si>
    <t>To add a budget line?</t>
  </si>
  <si>
    <t>A new row is added with the output code cell highlighted in red, att the missing output code</t>
  </si>
  <si>
    <t>Note</t>
  </si>
  <si>
    <t>if the output code is not added the total calculations will not include this budget line</t>
  </si>
  <si>
    <t>budget table headings</t>
  </si>
  <si>
    <t>Each budget lines should include the following information per example:</t>
  </si>
  <si>
    <t>Tarpaulins</t>
  </si>
  <si>
    <t>tarps</t>
  </si>
  <si>
    <t>Output Code</t>
  </si>
  <si>
    <t>Output code as per the operating plan</t>
  </si>
  <si>
    <t>Description of the budget line, specifically the resource required to implement the plan</t>
  </si>
  <si>
    <r>
      <t xml:space="preserve">Budget Group is a </t>
    </r>
    <r>
      <rPr>
        <i/>
        <u/>
        <sz val="9"/>
        <color theme="1"/>
        <rFont val="Arial"/>
        <family val="2"/>
      </rPr>
      <t>drop down list</t>
    </r>
    <r>
      <rPr>
        <i/>
        <sz val="9"/>
        <color theme="1"/>
        <rFont val="Arial"/>
        <family val="2"/>
      </rPr>
      <t xml:space="preserve"> from the </t>
    </r>
    <r>
      <rPr>
        <b/>
        <i/>
        <sz val="9"/>
        <color rgb="FF323232"/>
        <rFont val="Arial"/>
        <family val="2"/>
      </rPr>
      <t>[budget_groups]</t>
    </r>
    <r>
      <rPr>
        <i/>
        <sz val="9"/>
        <color theme="1"/>
        <rFont val="Arial"/>
        <family val="2"/>
      </rPr>
      <t xml:space="preserve"> sheet; select appropriate budget group as per the description and resource required</t>
    </r>
  </si>
  <si>
    <t>Quantity of the resource needed to implement the plan</t>
  </si>
  <si>
    <t>Unit measure of the resource needed to implement the plan</t>
  </si>
  <si>
    <t>Unit Cost</t>
  </si>
  <si>
    <t>Unit Cost in Local Currency (LC) of the resource needed to implement the plan</t>
  </si>
  <si>
    <t>Calculates the Quantity * Unit Costs in Local Currency (LC)</t>
  </si>
  <si>
    <t>Calculates the Total Cost LC into Swiss Francs (CHF) as per header rate</t>
  </si>
  <si>
    <r>
      <t xml:space="preserve">Quantity and Unit Cost </t>
    </r>
    <r>
      <rPr>
        <b/>
        <i/>
        <u/>
        <sz val="10"/>
        <color rgb="FFF5333F"/>
        <rFont val="Arial"/>
        <family val="2"/>
      </rPr>
      <t>must</t>
    </r>
    <r>
      <rPr>
        <b/>
        <i/>
        <sz val="10"/>
        <color rgb="FFF5333F"/>
        <rFont val="Arial"/>
        <family val="2"/>
      </rPr>
      <t xml:space="preserve"> be completed in order to calculate the budget line</t>
    </r>
  </si>
  <si>
    <t>review and printing</t>
  </si>
  <si>
    <t xml:space="preserve"> To reduce the number of pages for review and/or printing :</t>
  </si>
  <si>
    <t>Option 1</t>
  </si>
  <si>
    <t>Filter for budget lines &amp; respective totals only</t>
  </si>
  <si>
    <t>Option 2</t>
  </si>
  <si>
    <t>Summary by Ouput codes and Areas, or summary by Areas only, using outline selections</t>
  </si>
  <si>
    <t>Select [1]</t>
  </si>
  <si>
    <t>summarises the budget by planned operations</t>
  </si>
  <si>
    <t>Select [2]</t>
  </si>
  <si>
    <t>summarises the budget by planned operations &amp; output codes</t>
  </si>
  <si>
    <t>Select [3]</t>
  </si>
  <si>
    <t>to open up the table with all details</t>
  </si>
  <si>
    <t>DREF for publication</t>
  </si>
  <si>
    <t xml:space="preserve">This sheet is intended for the publication of the DREF Operation as an annex to the narrative. </t>
  </si>
  <si>
    <t>It summarises the budget by planned operations/areas and enabling approaches.</t>
  </si>
  <si>
    <t>Summary by AP Code</t>
  </si>
  <si>
    <t>This sheet is intended for information.</t>
  </si>
  <si>
    <t>It summarises the budget by output, planned operations/areas and enabling approaches.</t>
  </si>
  <si>
    <t>Resource Budget Summary</t>
  </si>
  <si>
    <t>This sheet is intended for the approval process of the DREF Operation as an annex to the operating plan and request for allocation.</t>
  </si>
  <si>
    <t>It summarises the budget by needed resources per IFRC's budget groups</t>
  </si>
  <si>
    <t>budget_groups</t>
  </si>
  <si>
    <t>The [budget_groups] sheet lists the IFRC Budget groups codes with their name and description as a reference.</t>
  </si>
  <si>
    <t>FedBudget data</t>
  </si>
  <si>
    <t>This sheet summarises the [budget_tool] table in a format which can be easily copy/paste into Fedbudget</t>
  </si>
  <si>
    <t>The data is a pivot table which refreshed upon opening of the workbook, but should always be refreshed before exporting data to FedBudget.</t>
  </si>
  <si>
    <t>B</t>
  </si>
  <si>
    <t>D</t>
  </si>
  <si>
    <t>E</t>
  </si>
  <si>
    <t>G</t>
  </si>
  <si>
    <t>O</t>
  </si>
  <si>
    <t>Q</t>
  </si>
  <si>
    <t>M</t>
  </si>
  <si>
    <t>Unit Price</t>
  </si>
  <si>
    <t>Account</t>
  </si>
  <si>
    <t>Activity</t>
  </si>
  <si>
    <t>Total CHF</t>
  </si>
  <si>
    <t>Blankets</t>
  </si>
  <si>
    <t>items</t>
  </si>
  <si>
    <t>Evaluation Consultancy, 30 days</t>
  </si>
  <si>
    <t>days</t>
  </si>
  <si>
    <t>Evaluation Travel</t>
  </si>
  <si>
    <t>lumpsum</t>
  </si>
  <si>
    <t>Field travel</t>
  </si>
  <si>
    <t>Updated on 23.08.2022</t>
  </si>
  <si>
    <t>DREF202201</t>
  </si>
  <si>
    <t>Fedbudget data</t>
  </si>
  <si>
    <t>don't forget to refresh the pivot table before exporting to fedbudget</t>
  </si>
  <si>
    <t>DATA SORT</t>
  </si>
  <si>
    <t>COPY / PASTE COLUMN DATA TO FEDBUDGET COLUMNS</t>
  </si>
  <si>
    <t>CHECK TOTALS</t>
  </si>
  <si>
    <t>C</t>
  </si>
  <si>
    <t>RESULT</t>
  </si>
  <si>
    <t>Output</t>
  </si>
  <si>
    <t>Account Code</t>
  </si>
  <si>
    <t>Activity Code</t>
  </si>
  <si>
    <t>PO01 - Shelter and Basic Household Items</t>
  </si>
  <si>
    <t>(blank)</t>
  </si>
  <si>
    <t>3,000.00</t>
  </si>
  <si>
    <t>Grand Total WITHOUT INDIRECT COSTS</t>
  </si>
  <si>
    <t>IFRC - OUTPUT CODES 2021</t>
  </si>
  <si>
    <t>Group</t>
  </si>
  <si>
    <t>Group Name</t>
  </si>
  <si>
    <t>SP&amp;E</t>
  </si>
  <si>
    <t>SP&amp;E Name</t>
  </si>
  <si>
    <t>Outcome</t>
  </si>
  <si>
    <t>Outcome Name</t>
  </si>
  <si>
    <t>Output Name</t>
  </si>
  <si>
    <t>OP Plan</t>
  </si>
  <si>
    <t>OP Plan Name</t>
  </si>
  <si>
    <t>PLAN</t>
  </si>
  <si>
    <t>OP RM code</t>
  </si>
  <si>
    <t>OP Plan Result Matrix</t>
  </si>
  <si>
    <t>SP</t>
  </si>
  <si>
    <t>Strategic Priority</t>
  </si>
  <si>
    <t>SP2</t>
  </si>
  <si>
    <t>Evolving crises and disasters</t>
  </si>
  <si>
    <t>SP2.2</t>
  </si>
  <si>
    <t>Disaster and crises response</t>
  </si>
  <si>
    <t>PO</t>
  </si>
  <si>
    <t>PO - Planned Operations</t>
  </si>
  <si>
    <t xml:space="preserve">PO02 - Livelihoods </t>
  </si>
  <si>
    <t>PO03 - Multi-purpose Cash</t>
  </si>
  <si>
    <t>SP3</t>
  </si>
  <si>
    <t>Growing gaps in health and wellbeing</t>
  </si>
  <si>
    <t>SP3.1</t>
  </si>
  <si>
    <t>National Society Health capacity</t>
  </si>
  <si>
    <t>PO04 - Health</t>
  </si>
  <si>
    <t>SP3.2</t>
  </si>
  <si>
    <t>SP3.3</t>
  </si>
  <si>
    <t>SP3.4</t>
  </si>
  <si>
    <t>Water, Sanitation and Hygiene</t>
  </si>
  <si>
    <t>PO05 - Water, Sanitation &amp; Hygiene</t>
  </si>
  <si>
    <t>SP3.5</t>
  </si>
  <si>
    <t>Water, Sanitation and Hygiene in emergencies</t>
  </si>
  <si>
    <t>SP5</t>
  </si>
  <si>
    <t>Values, Power and Inclusion</t>
  </si>
  <si>
    <t>SP5.1</t>
  </si>
  <si>
    <t>PO06 - Protection, Gender and Inclusion</t>
  </si>
  <si>
    <t>SP5.3</t>
  </si>
  <si>
    <t>Protection, gender and inclusion services</t>
  </si>
  <si>
    <t>SP5.4</t>
  </si>
  <si>
    <t>National Society Protection, Gender and Inclusion capacity</t>
  </si>
  <si>
    <t>SP5.2</t>
  </si>
  <si>
    <t>PO07 - Education</t>
  </si>
  <si>
    <t>SP4</t>
  </si>
  <si>
    <t>Migration and identity</t>
  </si>
  <si>
    <t>SP4.1</t>
  </si>
  <si>
    <t>PO08 - Migration</t>
  </si>
  <si>
    <t>SP4.2</t>
  </si>
  <si>
    <t>National Society migration and displacement capacity</t>
  </si>
  <si>
    <t>SP1</t>
  </si>
  <si>
    <t>Climate and environmental crises</t>
  </si>
  <si>
    <t>SP1.1</t>
  </si>
  <si>
    <t>PO09 - Risk Reduction, Climate Adaptation and Recovery</t>
  </si>
  <si>
    <t>SP2.1</t>
  </si>
  <si>
    <t>Community risk reduction</t>
  </si>
  <si>
    <t>Enabler</t>
  </si>
  <si>
    <t>E8</t>
  </si>
  <si>
    <t>Trusted</t>
  </si>
  <si>
    <t>E8.6</t>
  </si>
  <si>
    <t>Community engagement and accountability</t>
  </si>
  <si>
    <t>PO10 - Community Engagement and Accountability</t>
  </si>
  <si>
    <t>SP1.2</t>
  </si>
  <si>
    <t>Climate change mitigation and environmental sustainability</t>
  </si>
  <si>
    <t>PO11 - Environmental Sustainability</t>
  </si>
  <si>
    <t>E6</t>
  </si>
  <si>
    <t>Engaged</t>
  </si>
  <si>
    <t>E6.3</t>
  </si>
  <si>
    <t>EA</t>
  </si>
  <si>
    <t>EA - Enabling Approaches</t>
  </si>
  <si>
    <t>EA01 - Coordination and Partnerships</t>
  </si>
  <si>
    <t>SP2.4</t>
  </si>
  <si>
    <t>E6.1</t>
  </si>
  <si>
    <t>Engagement with stakeholders</t>
  </si>
  <si>
    <t>E6.2</t>
  </si>
  <si>
    <t>Influencing and humanitarian diplomacy</t>
  </si>
  <si>
    <t>E6.4</t>
  </si>
  <si>
    <t>Digital transformation</t>
  </si>
  <si>
    <t>E8.4</t>
  </si>
  <si>
    <t>E8.5</t>
  </si>
  <si>
    <t>E7</t>
  </si>
  <si>
    <t>Accountable</t>
  </si>
  <si>
    <t>E7.1</t>
  </si>
  <si>
    <t>EA02 - Secretariat Services</t>
  </si>
  <si>
    <t>E7.2</t>
  </si>
  <si>
    <t>Financing the future</t>
  </si>
  <si>
    <t>AP123</t>
  </si>
  <si>
    <t>SP2.3</t>
  </si>
  <si>
    <t>National Society Disaster Management capacity</t>
  </si>
  <si>
    <t>NS DM capacity</t>
  </si>
  <si>
    <t>EA03 - National Society Strengthening</t>
  </si>
  <si>
    <t>E8.1</t>
  </si>
  <si>
    <t>National Society development</t>
  </si>
  <si>
    <t>EA03 - National Society Development</t>
  </si>
  <si>
    <t>E8.2</t>
  </si>
  <si>
    <t>E8.3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</si>
</sst>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 * #,##0.00_ ;_ * \-#,##0.00_ ;_ * &quot;-&quot;??_ ;_ @_ "/>
    <numFmt numFmtId="165" formatCode="dd/mm/yyyy;@"/>
    <numFmt numFmtId="166" formatCode="_ * #,##0_ ;_ * \-#,##0_ ;_ * &quot;-&quot;??_ ;_ @_ "/>
  </numFmts>
  <fonts count="89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rgb="FFF5333F"/>
      <name val="Montserrat"/>
    </font>
    <font>
      <b/>
      <sz val="22"/>
      <color rgb="FFF5333F"/>
      <name val="Montserrat"/>
    </font>
    <font>
      <sz val="10"/>
      <name val="Open Sans"/>
      <family val="2"/>
    </font>
    <font>
      <sz val="11"/>
      <color theme="1"/>
      <name val="Open Sans"/>
      <family val="2"/>
    </font>
    <font>
      <b/>
      <sz val="15"/>
      <color theme="1"/>
      <name val="Open Sans"/>
      <family val="2"/>
    </font>
    <font>
      <sz val="14"/>
      <color theme="0"/>
      <name val="Open Sans"/>
      <family val="2"/>
    </font>
    <font>
      <sz val="11"/>
      <color theme="0"/>
      <name val="Open Sans"/>
      <family val="2"/>
    </font>
    <font>
      <b/>
      <sz val="16"/>
      <color theme="0"/>
      <name val="Open Sans"/>
      <family val="2"/>
    </font>
    <font>
      <sz val="8"/>
      <color theme="1"/>
      <name val="Open Sans"/>
      <family val="2"/>
    </font>
    <font>
      <sz val="9"/>
      <color theme="1"/>
      <name val="Open Sans"/>
      <family val="2"/>
    </font>
    <font>
      <b/>
      <sz val="8"/>
      <color theme="0"/>
      <name val="Open Sans"/>
      <family val="2"/>
    </font>
    <font>
      <b/>
      <sz val="8"/>
      <color theme="1"/>
      <name val="Open Sans"/>
      <family val="2"/>
    </font>
    <font>
      <b/>
      <sz val="9"/>
      <color theme="0"/>
      <name val="Open Sans"/>
      <family val="2"/>
    </font>
    <font>
      <sz val="9"/>
      <color theme="0"/>
      <name val="Open Sans"/>
      <family val="2"/>
    </font>
    <font>
      <b/>
      <sz val="9"/>
      <color theme="1"/>
      <name val="Open Sans"/>
      <family val="2"/>
    </font>
    <font>
      <b/>
      <sz val="9"/>
      <color rgb="FFF5333F"/>
      <name val="Open Sans"/>
      <family val="2"/>
    </font>
    <font>
      <sz val="11"/>
      <color rgb="FFF5333F"/>
      <name val="Open Sans"/>
      <family val="2"/>
    </font>
    <font>
      <sz val="9"/>
      <name val="Open Sans"/>
      <family val="2"/>
    </font>
    <font>
      <b/>
      <sz val="18"/>
      <color rgb="FFF5333F"/>
      <name val="Open Sans"/>
      <family val="2"/>
    </font>
    <font>
      <sz val="13"/>
      <color theme="1"/>
      <name val="Open Sans"/>
      <family val="2"/>
    </font>
    <font>
      <b/>
      <sz val="9"/>
      <name val="Open Sans"/>
      <family val="2"/>
    </font>
    <font>
      <b/>
      <sz val="9"/>
      <color rgb="FFE0E0E0"/>
      <name val="Open Sans"/>
      <family val="2"/>
    </font>
    <font>
      <sz val="10"/>
      <color theme="1"/>
      <name val="Open Sans"/>
      <family val="2"/>
    </font>
    <font>
      <sz val="8"/>
      <color theme="0"/>
      <name val="Open Sans"/>
      <family val="2"/>
    </font>
    <font>
      <u/>
      <sz val="8"/>
      <color theme="0"/>
      <name val="Open Sans"/>
      <family val="2"/>
    </font>
    <font>
      <b/>
      <sz val="10"/>
      <color theme="0"/>
      <name val="Open Sans"/>
      <family val="2"/>
    </font>
    <font>
      <u/>
      <sz val="9"/>
      <color theme="1"/>
      <name val="Open Sans"/>
      <family val="2"/>
    </font>
    <font>
      <b/>
      <sz val="14"/>
      <color theme="0"/>
      <name val="Open Sans"/>
      <family val="2"/>
    </font>
    <font>
      <u/>
      <sz val="8"/>
      <color theme="0" tint="-0.249977111117893"/>
      <name val="Open Sans"/>
      <family val="2"/>
    </font>
    <font>
      <sz val="8"/>
      <color theme="0" tint="-0.249977111117893"/>
      <name val="Open Sans"/>
      <family val="2"/>
    </font>
    <font>
      <b/>
      <sz val="8"/>
      <color theme="0" tint="-0.249977111117893"/>
      <name val="Open Sans"/>
      <family val="2"/>
    </font>
    <font>
      <sz val="15"/>
      <color rgb="FF011E41"/>
      <name val="Open Sans"/>
      <family val="2"/>
    </font>
    <font>
      <sz val="8"/>
      <name val="Open Sans"/>
      <family val="2"/>
    </font>
    <font>
      <b/>
      <sz val="8"/>
      <color rgb="FF0070C0"/>
      <name val="Open Sans"/>
      <family val="2"/>
    </font>
    <font>
      <i/>
      <sz val="10"/>
      <color theme="0" tint="-0.34998626667073579"/>
      <name val="Arial"/>
      <family val="2"/>
    </font>
    <font>
      <b/>
      <u/>
      <sz val="11"/>
      <color theme="0" tint="-0.499984740745262"/>
      <name val="Open Sans"/>
      <family val="2"/>
    </font>
    <font>
      <b/>
      <sz val="10"/>
      <color theme="1"/>
      <name val="Open Sans"/>
      <family val="2"/>
    </font>
    <font>
      <b/>
      <sz val="18"/>
      <color rgb="FF323232"/>
      <name val="Montserrat"/>
    </font>
    <font>
      <sz val="10"/>
      <color theme="1"/>
      <name val="Arial"/>
      <family val="2"/>
    </font>
    <font>
      <b/>
      <sz val="14"/>
      <color rgb="FFF5333F"/>
      <name val="Montserrat"/>
    </font>
    <font>
      <u/>
      <sz val="11"/>
      <color theme="10"/>
      <name val="Calibri"/>
      <family val="2"/>
      <scheme val="minor"/>
    </font>
    <font>
      <b/>
      <sz val="12"/>
      <color rgb="FF011E41"/>
      <name val="Open Sans"/>
      <family val="2"/>
    </font>
    <font>
      <sz val="11"/>
      <color theme="1"/>
      <name val="Arial"/>
      <family val="2"/>
    </font>
    <font>
      <i/>
      <u/>
      <sz val="11"/>
      <color theme="10"/>
      <name val="Calibri"/>
      <family val="2"/>
      <scheme val="minor"/>
    </font>
    <font>
      <sz val="9"/>
      <color theme="1"/>
      <name val="Arial"/>
      <family val="2"/>
    </font>
    <font>
      <i/>
      <sz val="9"/>
      <color theme="1"/>
      <name val="Arial"/>
      <family val="2"/>
    </font>
    <font>
      <b/>
      <sz val="8"/>
      <color theme="0"/>
      <name val="Arial Narrow"/>
      <family val="2"/>
    </font>
    <font>
      <sz val="8"/>
      <name val="Arial Narrow"/>
      <family val="2"/>
    </font>
    <font>
      <b/>
      <sz val="8"/>
      <name val="Arial Narrow"/>
      <family val="2"/>
    </font>
    <font>
      <b/>
      <sz val="8"/>
      <color rgb="FFE0E0E0"/>
      <name val="Arial Narrow"/>
      <family val="2"/>
    </font>
    <font>
      <b/>
      <sz val="14"/>
      <color theme="1"/>
      <name val="Open Sans"/>
      <family val="2"/>
    </font>
    <font>
      <sz val="11"/>
      <color theme="1"/>
      <name val="Calibri"/>
      <family val="2"/>
      <scheme val="minor"/>
    </font>
    <font>
      <sz val="11"/>
      <color theme="0"/>
      <name val="Arial"/>
      <family val="2"/>
    </font>
    <font>
      <b/>
      <sz val="10"/>
      <color rgb="FF323232"/>
      <name val="Open Sans"/>
      <family val="2"/>
    </font>
    <font>
      <b/>
      <i/>
      <sz val="10"/>
      <color rgb="FFF5333F"/>
      <name val="Arial"/>
      <family val="2"/>
    </font>
    <font>
      <b/>
      <i/>
      <u/>
      <sz val="10"/>
      <color rgb="FFF5333F"/>
      <name val="Arial"/>
      <family val="2"/>
    </font>
    <font>
      <i/>
      <u/>
      <sz val="9"/>
      <color theme="1"/>
      <name val="Arial"/>
      <family val="2"/>
    </font>
    <font>
      <b/>
      <i/>
      <sz val="9"/>
      <color rgb="FF323232"/>
      <name val="Arial"/>
      <family val="2"/>
    </font>
    <font>
      <sz val="11"/>
      <name val="Arial"/>
      <family val="2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8"/>
      <color theme="0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b/>
      <sz val="9"/>
      <color theme="0"/>
      <name val="Tahoma"/>
      <family val="2"/>
    </font>
    <font>
      <sz val="9"/>
      <name val="Tahoma"/>
      <family val="2"/>
    </font>
    <font>
      <sz val="9"/>
      <color rgb="FFFF0000"/>
      <name val="Tahoma"/>
      <family val="2"/>
    </font>
    <font>
      <sz val="9"/>
      <color theme="0"/>
      <name val="Tahoma"/>
      <family val="2"/>
    </font>
    <font>
      <sz val="8"/>
      <color theme="0"/>
      <name val="Calibri"/>
      <family val="2"/>
      <scheme val="minor"/>
    </font>
    <font>
      <b/>
      <sz val="9"/>
      <color rgb="FF0070C0"/>
      <name val="Tahoma"/>
      <family val="2"/>
    </font>
    <font>
      <b/>
      <u/>
      <sz val="10"/>
      <color rgb="FFF5333F"/>
      <name val="Open Sans"/>
      <family val="2"/>
    </font>
    <font>
      <sz val="10"/>
      <color rgb="FFF5333F"/>
      <name val="Open Sans"/>
      <family val="2"/>
    </font>
    <font>
      <b/>
      <sz val="13"/>
      <color theme="0"/>
      <name val="Open Sans"/>
      <family val="2"/>
    </font>
    <font>
      <b/>
      <sz val="11"/>
      <color theme="1"/>
      <name val="Open Sans"/>
      <family val="2"/>
    </font>
    <font>
      <b/>
      <sz val="11"/>
      <color rgb="FF323232"/>
      <name val="Open Sans"/>
      <family val="2"/>
    </font>
    <font>
      <sz val="10"/>
      <color theme="0"/>
      <name val="Open Sans"/>
      <family val="2"/>
    </font>
    <font>
      <sz val="11"/>
      <name val="Open Sans"/>
      <family val="2"/>
    </font>
    <font>
      <i/>
      <sz val="9"/>
      <color theme="0" tint="-0.34998626667073579"/>
      <name val="Arial"/>
      <family val="2"/>
    </font>
    <font>
      <b/>
      <sz val="11"/>
      <color theme="0"/>
      <name val="Open Sans"/>
      <family val="2"/>
    </font>
    <font>
      <b/>
      <sz val="13"/>
      <color rgb="FF011E41"/>
      <name val="Open Sans"/>
      <family val="2"/>
    </font>
    <font>
      <b/>
      <sz val="16"/>
      <color rgb="FFF5333F"/>
      <name val="Open Sans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5333F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011E4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786964"/>
        <bgColor indexed="64"/>
      </patternFill>
    </fill>
    <fill>
      <patternFill patternType="solid">
        <fgColor rgb="FF00324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rgb="FFF5333F"/>
      </left>
      <right/>
      <top style="thin">
        <color rgb="FFF5333F"/>
      </top>
      <bottom style="thin">
        <color rgb="FFF5333F"/>
      </bottom>
      <diagonal/>
    </border>
    <border>
      <left/>
      <right/>
      <top style="thin">
        <color rgb="FFF5333F"/>
      </top>
      <bottom style="thin">
        <color rgb="FFF5333F"/>
      </bottom>
      <diagonal/>
    </border>
    <border>
      <left/>
      <right style="thin">
        <color rgb="FFF5333F"/>
      </right>
      <top style="thin">
        <color rgb="FFF5333F"/>
      </top>
      <bottom style="thin">
        <color rgb="FFF5333F"/>
      </bottom>
      <diagonal/>
    </border>
    <border>
      <left style="thin">
        <color rgb="FFF5333F"/>
      </left>
      <right/>
      <top/>
      <bottom/>
      <diagonal/>
    </border>
    <border>
      <left style="thin">
        <color rgb="FFF5333F"/>
      </left>
      <right/>
      <top/>
      <bottom style="thin">
        <color rgb="FFF5333F"/>
      </bottom>
      <diagonal/>
    </border>
    <border>
      <left/>
      <right/>
      <top/>
      <bottom style="thin">
        <color rgb="FFF5333F"/>
      </bottom>
      <diagonal/>
    </border>
    <border>
      <left/>
      <right style="thick">
        <color rgb="FFFBFBFB"/>
      </right>
      <top/>
      <bottom/>
      <diagonal/>
    </border>
    <border>
      <left/>
      <right/>
      <top/>
      <bottom style="thin">
        <color rgb="FF011E41"/>
      </bottom>
      <diagonal/>
    </border>
    <border>
      <left/>
      <right/>
      <top style="thin">
        <color rgb="FF011E41"/>
      </top>
      <bottom style="thin">
        <color rgb="FFF5333F"/>
      </bottom>
      <diagonal/>
    </border>
    <border>
      <left style="thin">
        <color rgb="FFF5333F"/>
      </left>
      <right/>
      <top style="thin">
        <color rgb="FFF5333F"/>
      </top>
      <bottom/>
      <diagonal/>
    </border>
    <border>
      <left/>
      <right/>
      <top style="thin">
        <color rgb="FFF5333F"/>
      </top>
      <bottom/>
      <diagonal/>
    </border>
    <border>
      <left style="thin">
        <color rgb="FFF5333F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/>
      <bottom style="medium">
        <color rgb="FF323232"/>
      </bottom>
      <diagonal/>
    </border>
    <border>
      <left/>
      <right/>
      <top/>
      <bottom style="thin">
        <color theme="2" tint="-0.24994659260841701"/>
      </bottom>
      <diagonal/>
    </border>
    <border>
      <left/>
      <right/>
      <top style="thin">
        <color rgb="FFD7D2D1"/>
      </top>
      <bottom style="medium">
        <color rgb="FFD7D2D1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42" fillId="0" borderId="0" applyNumberFormat="0" applyFill="0" applyBorder="0" applyAlignment="0" applyProtection="0"/>
    <xf numFmtId="164" fontId="53" fillId="0" borderId="0" applyFont="0" applyFill="0" applyBorder="0" applyAlignment="0" applyProtection="0"/>
  </cellStyleXfs>
  <cellXfs count="215">
    <xf numFmtId="0" fontId="0" fillId="0" borderId="0" xfId="0"/>
    <xf numFmtId="0" fontId="5" fillId="0" borderId="0" xfId="0" applyFont="1"/>
    <xf numFmtId="0" fontId="5" fillId="0" borderId="0" xfId="0" applyFont="1" applyAlignment="1">
      <alignment vertical="center"/>
    </xf>
    <xf numFmtId="0" fontId="11" fillId="0" borderId="0" xfId="0" applyFont="1"/>
    <xf numFmtId="0" fontId="17" fillId="0" borderId="0" xfId="0" applyFont="1"/>
    <xf numFmtId="0" fontId="19" fillId="0" borderId="0" xfId="0" applyFont="1" applyAlignment="1" applyProtection="1">
      <alignment vertical="center"/>
      <protection locked="0"/>
    </xf>
    <xf numFmtId="4" fontId="19" fillId="0" borderId="0" xfId="0" applyNumberFormat="1" applyFont="1" applyAlignment="1" applyProtection="1">
      <alignment vertical="center"/>
      <protection locked="0"/>
    </xf>
    <xf numFmtId="0" fontId="24" fillId="0" borderId="0" xfId="0" applyFont="1"/>
    <xf numFmtId="0" fontId="12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2" fillId="6" borderId="0" xfId="0" applyFont="1" applyFill="1" applyAlignment="1">
      <alignment horizontal="center" vertical="center"/>
    </xf>
    <xf numFmtId="0" fontId="12" fillId="6" borderId="0" xfId="0" applyFont="1" applyFill="1" applyAlignment="1">
      <alignment horizontal="left" vertical="center" wrapText="1"/>
    </xf>
    <xf numFmtId="0" fontId="12" fillId="6" borderId="0" xfId="0" applyFont="1" applyFill="1" applyAlignment="1">
      <alignment vertical="center" wrapText="1"/>
    </xf>
    <xf numFmtId="0" fontId="24" fillId="0" borderId="0" xfId="0" applyFont="1" applyAlignment="1">
      <alignment wrapText="1"/>
    </xf>
    <xf numFmtId="0" fontId="20" fillId="0" borderId="0" xfId="0" applyFont="1" applyAlignment="1">
      <alignment horizontal="right"/>
    </xf>
    <xf numFmtId="0" fontId="4" fillId="0" borderId="0" xfId="0" applyFont="1"/>
    <xf numFmtId="0" fontId="27" fillId="0" borderId="0" xfId="0" applyFont="1"/>
    <xf numFmtId="0" fontId="20" fillId="0" borderId="0" xfId="0" applyFont="1" applyAlignment="1">
      <alignment horizontal="left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0" fontId="11" fillId="3" borderId="0" xfId="0" applyFont="1" applyFill="1" applyAlignment="1">
      <alignment vertical="center" wrapText="1"/>
    </xf>
    <xf numFmtId="0" fontId="19" fillId="0" borderId="0" xfId="0" applyFont="1"/>
    <xf numFmtId="0" fontId="19" fillId="0" borderId="0" xfId="0" applyFont="1" applyAlignment="1">
      <alignment vertical="center"/>
    </xf>
    <xf numFmtId="0" fontId="33" fillId="7" borderId="8" xfId="0" applyFont="1" applyFill="1" applyBorder="1" applyAlignment="1" applyProtection="1">
      <alignment horizontal="center" vertical="center"/>
      <protection locked="0"/>
    </xf>
    <xf numFmtId="165" fontId="33" fillId="7" borderId="0" xfId="0" applyNumberFormat="1" applyFont="1" applyFill="1" applyAlignment="1" applyProtection="1">
      <alignment horizontal="center" vertical="center"/>
      <protection locked="0"/>
    </xf>
    <xf numFmtId="0" fontId="34" fillId="0" borderId="0" xfId="0" applyFont="1"/>
    <xf numFmtId="0" fontId="35" fillId="8" borderId="0" xfId="1" applyFont="1" applyFill="1"/>
    <xf numFmtId="0" fontId="34" fillId="8" borderId="0" xfId="0" applyFont="1" applyFill="1"/>
    <xf numFmtId="0" fontId="34" fillId="8" borderId="0" xfId="1" applyFont="1" applyFill="1"/>
    <xf numFmtId="0" fontId="2" fillId="0" borderId="0" xfId="0" applyFont="1"/>
    <xf numFmtId="0" fontId="15" fillId="0" borderId="0" xfId="0" applyFont="1" applyAlignment="1">
      <alignment horizontal="right"/>
    </xf>
    <xf numFmtId="0" fontId="20" fillId="0" borderId="0" xfId="0" applyFont="1"/>
    <xf numFmtId="0" fontId="10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1" fillId="0" borderId="0" xfId="0" applyFont="1"/>
    <xf numFmtId="0" fontId="14" fillId="0" borderId="0" xfId="0" applyFont="1" applyAlignment="1">
      <alignment horizontal="center" vertical="center" wrapText="1"/>
    </xf>
    <xf numFmtId="0" fontId="15" fillId="4" borderId="2" xfId="0" applyFont="1" applyFill="1" applyBorder="1" applyAlignment="1">
      <alignment vertical="center"/>
    </xf>
    <xf numFmtId="0" fontId="14" fillId="4" borderId="3" xfId="0" applyFont="1" applyFill="1" applyBorder="1" applyAlignment="1">
      <alignment vertical="center"/>
    </xf>
    <xf numFmtId="0" fontId="15" fillId="4" borderId="3" xfId="0" applyFont="1" applyFill="1" applyBorder="1" applyAlignment="1">
      <alignment vertical="center"/>
    </xf>
    <xf numFmtId="4" fontId="14" fillId="4" borderId="3" xfId="0" applyNumberFormat="1" applyFont="1" applyFill="1" applyBorder="1" applyAlignment="1">
      <alignment vertical="center"/>
    </xf>
    <xf numFmtId="4" fontId="14" fillId="4" borderId="4" xfId="0" applyNumberFormat="1" applyFont="1" applyFill="1" applyBorder="1" applyAlignment="1">
      <alignment vertical="center"/>
    </xf>
    <xf numFmtId="0" fontId="33" fillId="7" borderId="0" xfId="0" applyFont="1" applyFill="1" applyProtection="1">
      <protection locked="0"/>
    </xf>
    <xf numFmtId="0" fontId="19" fillId="0" borderId="0" xfId="0" applyFont="1" applyProtection="1">
      <protection locked="0"/>
    </xf>
    <xf numFmtId="0" fontId="19" fillId="9" borderId="0" xfId="0" applyFont="1" applyFill="1" applyAlignment="1">
      <alignment vertical="center"/>
    </xf>
    <xf numFmtId="0" fontId="22" fillId="9" borderId="0" xfId="0" applyFont="1" applyFill="1" applyAlignment="1">
      <alignment vertical="center"/>
    </xf>
    <xf numFmtId="4" fontId="22" fillId="9" borderId="0" xfId="0" applyNumberFormat="1" applyFont="1" applyFill="1" applyAlignment="1">
      <alignment vertical="center"/>
    </xf>
    <xf numFmtId="0" fontId="19" fillId="9" borderId="2" xfId="0" applyFont="1" applyFill="1" applyBorder="1" applyAlignment="1">
      <alignment vertical="center"/>
    </xf>
    <xf numFmtId="0" fontId="22" fillId="9" borderId="3" xfId="0" applyFont="1" applyFill="1" applyBorder="1" applyAlignment="1">
      <alignment vertical="center"/>
    </xf>
    <xf numFmtId="0" fontId="19" fillId="9" borderId="3" xfId="0" applyFont="1" applyFill="1" applyBorder="1" applyAlignment="1">
      <alignment vertical="center"/>
    </xf>
    <xf numFmtId="4" fontId="22" fillId="9" borderId="3" xfId="0" applyNumberFormat="1" applyFont="1" applyFill="1" applyBorder="1" applyAlignment="1">
      <alignment vertical="center"/>
    </xf>
    <xf numFmtId="4" fontId="22" fillId="9" borderId="4" xfId="0" applyNumberFormat="1" applyFont="1" applyFill="1" applyBorder="1" applyAlignment="1">
      <alignment vertical="center"/>
    </xf>
    <xf numFmtId="0" fontId="34" fillId="10" borderId="0" xfId="0" applyFont="1" applyFill="1"/>
    <xf numFmtId="0" fontId="34" fillId="10" borderId="0" xfId="1" applyFont="1" applyFill="1"/>
    <xf numFmtId="0" fontId="39" fillId="0" borderId="14" xfId="0" applyFont="1" applyBorder="1" applyAlignment="1">
      <alignment vertical="center"/>
    </xf>
    <xf numFmtId="0" fontId="19" fillId="0" borderId="14" xfId="0" applyFont="1" applyBorder="1"/>
    <xf numFmtId="0" fontId="41" fillId="0" borderId="0" xfId="0" applyFont="1"/>
    <xf numFmtId="0" fontId="40" fillId="0" borderId="0" xfId="0" applyFont="1" applyAlignment="1">
      <alignment horizontal="left" vertical="top" wrapText="1"/>
    </xf>
    <xf numFmtId="0" fontId="42" fillId="0" borderId="0" xfId="2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43" fillId="0" borderId="0" xfId="0" applyFont="1"/>
    <xf numFmtId="0" fontId="44" fillId="0" borderId="0" xfId="0" applyFont="1"/>
    <xf numFmtId="0" fontId="40" fillId="0" borderId="0" xfId="0" applyFont="1" applyAlignment="1" applyProtection="1">
      <alignment vertical="top"/>
      <protection locked="0"/>
    </xf>
    <xf numFmtId="0" fontId="45" fillId="0" borderId="0" xfId="2" applyFont="1" applyAlignment="1" applyProtection="1">
      <alignment vertical="top"/>
      <protection locked="0"/>
    </xf>
    <xf numFmtId="0" fontId="46" fillId="0" borderId="0" xfId="0" applyFont="1" applyAlignment="1">
      <alignment vertical="center"/>
    </xf>
    <xf numFmtId="0" fontId="47" fillId="0" borderId="0" xfId="0" applyFont="1" applyAlignment="1">
      <alignment vertical="center" wrapText="1"/>
    </xf>
    <xf numFmtId="0" fontId="46" fillId="0" borderId="0" xfId="0" applyFont="1"/>
    <xf numFmtId="0" fontId="48" fillId="4" borderId="11" xfId="0" applyFont="1" applyFill="1" applyBorder="1" applyAlignment="1">
      <alignment horizontal="center" vertical="center" wrapText="1"/>
    </xf>
    <xf numFmtId="0" fontId="48" fillId="4" borderId="12" xfId="0" applyFont="1" applyFill="1" applyBorder="1" applyAlignment="1">
      <alignment horizontal="center" vertical="center" wrapText="1"/>
    </xf>
    <xf numFmtId="0" fontId="49" fillId="0" borderId="5" xfId="0" applyFont="1" applyBorder="1"/>
    <xf numFmtId="0" fontId="49" fillId="0" borderId="0" xfId="0" applyFont="1"/>
    <xf numFmtId="4" fontId="49" fillId="0" borderId="0" xfId="0" applyNumberFormat="1" applyFont="1"/>
    <xf numFmtId="0" fontId="49" fillId="7" borderId="5" xfId="0" applyFont="1" applyFill="1" applyBorder="1"/>
    <xf numFmtId="0" fontId="49" fillId="7" borderId="0" xfId="0" applyFont="1" applyFill="1"/>
    <xf numFmtId="4" fontId="49" fillId="7" borderId="0" xfId="0" applyNumberFormat="1" applyFont="1" applyFill="1"/>
    <xf numFmtId="0" fontId="50" fillId="5" borderId="13" xfId="0" applyFont="1" applyFill="1" applyBorder="1"/>
    <xf numFmtId="0" fontId="50" fillId="5" borderId="1" xfId="0" applyFont="1" applyFill="1" applyBorder="1"/>
    <xf numFmtId="0" fontId="51" fillId="5" borderId="1" xfId="0" applyFont="1" applyFill="1" applyBorder="1"/>
    <xf numFmtId="4" fontId="50" fillId="5" borderId="1" xfId="0" applyNumberFormat="1" applyFont="1" applyFill="1" applyBorder="1" applyAlignment="1">
      <alignment wrapText="1"/>
    </xf>
    <xf numFmtId="0" fontId="46" fillId="3" borderId="0" xfId="0" applyFont="1" applyFill="1" applyAlignment="1">
      <alignment vertical="center"/>
    </xf>
    <xf numFmtId="0" fontId="47" fillId="3" borderId="0" xfId="0" applyFont="1" applyFill="1" applyAlignment="1">
      <alignment vertical="center"/>
    </xf>
    <xf numFmtId="0" fontId="47" fillId="3" borderId="0" xfId="0" applyFont="1" applyFill="1"/>
    <xf numFmtId="0" fontId="46" fillId="3" borderId="0" xfId="0" applyFont="1" applyFill="1"/>
    <xf numFmtId="0" fontId="44" fillId="0" borderId="7" xfId="0" applyFont="1" applyBorder="1"/>
    <xf numFmtId="0" fontId="18" fillId="0" borderId="0" xfId="0" applyFont="1" applyAlignment="1">
      <alignment vertical="center"/>
    </xf>
    <xf numFmtId="0" fontId="38" fillId="0" borderId="0" xfId="0" applyFont="1"/>
    <xf numFmtId="0" fontId="29" fillId="4" borderId="7" xfId="0" applyFont="1" applyFill="1" applyBorder="1"/>
    <xf numFmtId="0" fontId="54" fillId="4" borderId="7" xfId="0" applyFont="1" applyFill="1" applyBorder="1"/>
    <xf numFmtId="0" fontId="56" fillId="0" borderId="0" xfId="0" applyFont="1" applyAlignment="1">
      <alignment vertical="center"/>
    </xf>
    <xf numFmtId="0" fontId="57" fillId="0" borderId="0" xfId="0" applyFont="1" applyAlignment="1">
      <alignment horizontal="right" vertical="center"/>
    </xf>
    <xf numFmtId="0" fontId="10" fillId="0" borderId="0" xfId="0" applyFont="1"/>
    <xf numFmtId="164" fontId="10" fillId="0" borderId="0" xfId="3" applyFont="1"/>
    <xf numFmtId="0" fontId="38" fillId="0" borderId="0" xfId="0" applyFont="1" applyAlignment="1">
      <alignment horizontal="right"/>
    </xf>
    <xf numFmtId="0" fontId="52" fillId="0" borderId="0" xfId="0" applyFont="1"/>
    <xf numFmtId="0" fontId="40" fillId="0" borderId="0" xfId="0" applyFont="1"/>
    <xf numFmtId="0" fontId="44" fillId="0" borderId="15" xfId="0" applyFont="1" applyBorder="1"/>
    <xf numFmtId="0" fontId="54" fillId="11" borderId="15" xfId="0" applyFont="1" applyFill="1" applyBorder="1"/>
    <xf numFmtId="0" fontId="60" fillId="11" borderId="15" xfId="0" applyFont="1" applyFill="1" applyBorder="1"/>
    <xf numFmtId="0" fontId="61" fillId="0" borderId="14" xfId="0" applyFont="1" applyBorder="1" applyAlignment="1">
      <alignment vertical="center"/>
    </xf>
    <xf numFmtId="0" fontId="62" fillId="0" borderId="14" xfId="0" applyFont="1" applyBorder="1" applyAlignment="1">
      <alignment vertical="center"/>
    </xf>
    <xf numFmtId="4" fontId="19" fillId="9" borderId="0" xfId="0" applyNumberFormat="1" applyFont="1" applyFill="1" applyAlignment="1">
      <alignment vertical="center"/>
    </xf>
    <xf numFmtId="4" fontId="19" fillId="9" borderId="3" xfId="0" applyNumberFormat="1" applyFont="1" applyFill="1" applyBorder="1" applyAlignment="1">
      <alignment vertical="center"/>
    </xf>
    <xf numFmtId="4" fontId="15" fillId="4" borderId="3" xfId="0" applyNumberFormat="1" applyFont="1" applyFill="1" applyBorder="1" applyAlignment="1">
      <alignment vertical="center"/>
    </xf>
    <xf numFmtId="0" fontId="63" fillId="12" borderId="16" xfId="0" applyFont="1" applyFill="1" applyBorder="1" applyAlignment="1" applyProtection="1">
      <alignment vertical="top" wrapText="1"/>
      <protection hidden="1"/>
    </xf>
    <xf numFmtId="0" fontId="63" fillId="13" borderId="16" xfId="0" applyFont="1" applyFill="1" applyBorder="1" applyAlignment="1" applyProtection="1">
      <alignment vertical="top" wrapText="1"/>
      <protection hidden="1"/>
    </xf>
    <xf numFmtId="0" fontId="44" fillId="14" borderId="15" xfId="0" applyFont="1" applyFill="1" applyBorder="1"/>
    <xf numFmtId="0" fontId="63" fillId="12" borderId="16" xfId="0" applyFont="1" applyFill="1" applyBorder="1" applyAlignment="1" applyProtection="1">
      <alignment vertical="top"/>
      <protection hidden="1"/>
    </xf>
    <xf numFmtId="0" fontId="66" fillId="0" borderId="0" xfId="0" applyFont="1" applyAlignment="1">
      <alignment horizontal="center"/>
    </xf>
    <xf numFmtId="0" fontId="67" fillId="0" borderId="0" xfId="0" applyFont="1"/>
    <xf numFmtId="164" fontId="67" fillId="0" borderId="0" xfId="0" applyNumberFormat="1" applyFont="1"/>
    <xf numFmtId="0" fontId="67" fillId="0" borderId="0" xfId="0" applyFont="1" applyAlignment="1">
      <alignment horizontal="center"/>
    </xf>
    <xf numFmtId="4" fontId="67" fillId="0" borderId="0" xfId="0" applyNumberFormat="1" applyFont="1"/>
    <xf numFmtId="0" fontId="68" fillId="0" borderId="0" xfId="0" applyFont="1"/>
    <xf numFmtId="0" fontId="68" fillId="0" borderId="0" xfId="0" applyFont="1" applyAlignment="1">
      <alignment horizontal="center"/>
    </xf>
    <xf numFmtId="0" fontId="68" fillId="0" borderId="0" xfId="0" applyFont="1" applyAlignment="1">
      <alignment vertical="center" wrapText="1"/>
    </xf>
    <xf numFmtId="0" fontId="69" fillId="0" borderId="0" xfId="0" applyFont="1" applyAlignment="1">
      <alignment horizontal="center"/>
    </xf>
    <xf numFmtId="0" fontId="70" fillId="15" borderId="0" xfId="0" applyFont="1" applyFill="1" applyAlignment="1">
      <alignment horizontal="center" vertical="center"/>
    </xf>
    <xf numFmtId="0" fontId="8" fillId="0" borderId="0" xfId="0" applyFont="1"/>
    <xf numFmtId="0" fontId="71" fillId="0" borderId="0" xfId="0" applyFont="1"/>
    <xf numFmtId="0" fontId="72" fillId="0" borderId="0" xfId="0" applyFont="1" applyAlignment="1">
      <alignment horizontal="right"/>
    </xf>
    <xf numFmtId="0" fontId="73" fillId="0" borderId="0" xfId="0" applyFont="1" applyAlignment="1">
      <alignment horizontal="right"/>
    </xf>
    <xf numFmtId="0" fontId="74" fillId="12" borderId="0" xfId="0" applyFont="1" applyFill="1" applyAlignment="1">
      <alignment horizontal="center" vertical="center" wrapText="1"/>
    </xf>
    <xf numFmtId="0" fontId="75" fillId="0" borderId="0" xfId="0" applyFont="1"/>
    <xf numFmtId="0" fontId="22" fillId="5" borderId="1" xfId="0" applyFont="1" applyFill="1" applyBorder="1" applyAlignment="1">
      <alignment vertical="center"/>
    </xf>
    <xf numFmtId="4" fontId="23" fillId="5" borderId="1" xfId="0" applyNumberFormat="1" applyFont="1" applyFill="1" applyBorder="1" applyAlignment="1">
      <alignment vertical="center"/>
    </xf>
    <xf numFmtId="4" fontId="22" fillId="5" borderId="1" xfId="0" applyNumberFormat="1" applyFont="1" applyFill="1" applyBorder="1" applyAlignment="1">
      <alignment vertical="center" wrapText="1"/>
    </xf>
    <xf numFmtId="0" fontId="14" fillId="6" borderId="0" xfId="0" applyFont="1" applyFill="1" applyAlignment="1">
      <alignment vertical="center"/>
    </xf>
    <xf numFmtId="4" fontId="14" fillId="6" borderId="0" xfId="0" applyNumberFormat="1" applyFont="1" applyFill="1" applyAlignment="1">
      <alignment vertical="center"/>
    </xf>
    <xf numFmtId="4" fontId="14" fillId="6" borderId="0" xfId="0" applyNumberFormat="1" applyFont="1" applyFill="1" applyAlignment="1">
      <alignment vertical="center" wrapText="1"/>
    </xf>
    <xf numFmtId="4" fontId="22" fillId="5" borderId="1" xfId="0" applyNumberFormat="1" applyFont="1" applyFill="1" applyBorder="1" applyAlignment="1">
      <alignment vertical="center"/>
    </xf>
    <xf numFmtId="4" fontId="22" fillId="6" borderId="0" xfId="0" applyNumberFormat="1" applyFont="1" applyFill="1" applyAlignment="1">
      <alignment vertical="center"/>
    </xf>
    <xf numFmtId="4" fontId="19" fillId="4" borderId="3" xfId="0" applyNumberFormat="1" applyFont="1" applyFill="1" applyBorder="1" applyAlignment="1">
      <alignment vertical="center"/>
    </xf>
    <xf numFmtId="0" fontId="12" fillId="6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11" fillId="0" borderId="0" xfId="0" applyFont="1" applyAlignment="1">
      <alignment horizontal="center"/>
    </xf>
    <xf numFmtId="0" fontId="27" fillId="6" borderId="0" xfId="0" applyFont="1" applyFill="1" applyAlignment="1">
      <alignment horizontal="left" vertical="center"/>
    </xf>
    <xf numFmtId="0" fontId="27" fillId="6" borderId="0" xfId="0" applyFont="1" applyFill="1" applyAlignment="1">
      <alignment horizontal="left" vertical="center" wrapText="1"/>
    </xf>
    <xf numFmtId="3" fontId="27" fillId="6" borderId="0" xfId="0" applyNumberFormat="1" applyFont="1" applyFill="1" applyAlignment="1">
      <alignment horizontal="right" vertical="center" wrapText="1"/>
    </xf>
    <xf numFmtId="0" fontId="10" fillId="9" borderId="5" xfId="0" applyFont="1" applyFill="1" applyBorder="1" applyAlignment="1">
      <alignment horizontal="center" vertical="center"/>
    </xf>
    <xf numFmtId="0" fontId="24" fillId="9" borderId="0" xfId="0" applyFont="1" applyFill="1" applyAlignment="1">
      <alignment vertical="center"/>
    </xf>
    <xf numFmtId="3" fontId="24" fillId="9" borderId="0" xfId="0" applyNumberFormat="1" applyFont="1" applyFill="1" applyAlignment="1">
      <alignment horizontal="right" vertical="center"/>
    </xf>
    <xf numFmtId="0" fontId="10" fillId="0" borderId="5" xfId="0" applyFont="1" applyBorder="1" applyAlignment="1">
      <alignment horizontal="center" vertical="center"/>
    </xf>
    <xf numFmtId="0" fontId="24" fillId="0" borderId="0" xfId="0" applyFont="1" applyAlignment="1">
      <alignment vertical="center"/>
    </xf>
    <xf numFmtId="3" fontId="24" fillId="0" borderId="0" xfId="0" applyNumberFormat="1" applyFont="1" applyAlignment="1">
      <alignment horizontal="right" vertical="center"/>
    </xf>
    <xf numFmtId="0" fontId="10" fillId="9" borderId="0" xfId="0" applyFont="1" applyFill="1" applyAlignment="1">
      <alignment horizontal="center" vertical="center"/>
    </xf>
    <xf numFmtId="0" fontId="10" fillId="9" borderId="9" xfId="0" applyFont="1" applyFill="1" applyBorder="1" applyAlignment="1">
      <alignment horizontal="center" vertical="center"/>
    </xf>
    <xf numFmtId="0" fontId="24" fillId="9" borderId="9" xfId="0" applyFont="1" applyFill="1" applyBorder="1" applyAlignment="1">
      <alignment vertical="center"/>
    </xf>
    <xf numFmtId="3" fontId="24" fillId="9" borderId="9" xfId="0" applyNumberFormat="1" applyFont="1" applyFill="1" applyBorder="1" applyAlignment="1">
      <alignment horizontal="right" vertical="center"/>
    </xf>
    <xf numFmtId="0" fontId="30" fillId="0" borderId="0" xfId="0" applyFont="1"/>
    <xf numFmtId="0" fontId="13" fillId="9" borderId="10" xfId="0" applyFont="1" applyFill="1" applyBorder="1" applyAlignment="1">
      <alignment vertical="center"/>
    </xf>
    <xf numFmtId="0" fontId="38" fillId="9" borderId="10" xfId="0" applyFont="1" applyFill="1" applyBorder="1" applyAlignment="1">
      <alignment vertical="center"/>
    </xf>
    <xf numFmtId="0" fontId="24" fillId="9" borderId="10" xfId="0" applyFont="1" applyFill="1" applyBorder="1" applyAlignment="1">
      <alignment vertical="center"/>
    </xf>
    <xf numFmtId="3" fontId="38" fillId="9" borderId="10" xfId="0" applyNumberFormat="1" applyFont="1" applyFill="1" applyBorder="1" applyAlignment="1">
      <alignment horizontal="right" vertical="center"/>
    </xf>
    <xf numFmtId="3" fontId="32" fillId="0" borderId="0" xfId="0" applyNumberFormat="1" applyFont="1"/>
    <xf numFmtId="3" fontId="31" fillId="0" borderId="0" xfId="0" applyNumberFormat="1" applyFont="1"/>
    <xf numFmtId="0" fontId="10" fillId="9" borderId="6" xfId="0" applyFont="1" applyFill="1" applyBorder="1" applyAlignment="1">
      <alignment horizontal="center" vertical="center"/>
    </xf>
    <xf numFmtId="0" fontId="38" fillId="9" borderId="7" xfId="0" applyFont="1" applyFill="1" applyBorder="1" applyAlignment="1">
      <alignment vertical="center"/>
    </xf>
    <xf numFmtId="0" fontId="24" fillId="9" borderId="7" xfId="0" applyFont="1" applyFill="1" applyBorder="1" applyAlignment="1">
      <alignment vertical="center"/>
    </xf>
    <xf numFmtId="3" fontId="38" fillId="9" borderId="7" xfId="0" applyNumberFormat="1" applyFont="1" applyFill="1" applyBorder="1" applyAlignment="1">
      <alignment horizontal="right" vertical="center"/>
    </xf>
    <xf numFmtId="0" fontId="5" fillId="4" borderId="0" xfId="0" applyFont="1" applyFill="1"/>
    <xf numFmtId="0" fontId="27" fillId="4" borderId="3" xfId="0" applyFont="1" applyFill="1" applyBorder="1" applyAlignment="1">
      <alignment vertical="center"/>
    </xf>
    <xf numFmtId="0" fontId="24" fillId="4" borderId="0" xfId="0" applyFont="1" applyFill="1"/>
    <xf numFmtId="3" fontId="27" fillId="4" borderId="0" xfId="0" applyNumberFormat="1" applyFont="1" applyFill="1"/>
    <xf numFmtId="0" fontId="37" fillId="0" borderId="0" xfId="0" applyFont="1"/>
    <xf numFmtId="0" fontId="29" fillId="6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3" fontId="7" fillId="6" borderId="0" xfId="0" applyNumberFormat="1" applyFont="1" applyFill="1" applyAlignment="1">
      <alignment vertical="center"/>
    </xf>
    <xf numFmtId="3" fontId="29" fillId="6" borderId="0" xfId="0" applyNumberFormat="1" applyFont="1" applyFill="1" applyAlignment="1">
      <alignment vertical="center"/>
    </xf>
    <xf numFmtId="0" fontId="8" fillId="0" borderId="0" xfId="0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76" fillId="0" borderId="0" xfId="0" applyFont="1"/>
    <xf numFmtId="0" fontId="77" fillId="0" borderId="0" xfId="0" applyFont="1"/>
    <xf numFmtId="0" fontId="9" fillId="4" borderId="0" xfId="0" applyFont="1" applyFill="1"/>
    <xf numFmtId="3" fontId="9" fillId="4" borderId="0" xfId="0" applyNumberFormat="1" applyFont="1" applyFill="1"/>
    <xf numFmtId="3" fontId="77" fillId="0" borderId="0" xfId="0" applyNumberFormat="1" applyFont="1"/>
    <xf numFmtId="0" fontId="36" fillId="0" borderId="0" xfId="0" applyFont="1"/>
    <xf numFmtId="0" fontId="38" fillId="0" borderId="0" xfId="0" applyFont="1" applyAlignment="1">
      <alignment horizontal="center"/>
    </xf>
    <xf numFmtId="0" fontId="78" fillId="6" borderId="0" xfId="0" applyFont="1" applyFill="1" applyAlignment="1">
      <alignment vertical="center"/>
    </xf>
    <xf numFmtId="3" fontId="78" fillId="6" borderId="0" xfId="0" applyNumberFormat="1" applyFont="1" applyFill="1" applyAlignment="1">
      <alignment horizontal="right" vertical="center"/>
    </xf>
    <xf numFmtId="0" fontId="21" fillId="0" borderId="0" xfId="0" applyFont="1" applyAlignment="1">
      <alignment vertical="center"/>
    </xf>
    <xf numFmtId="0" fontId="80" fillId="0" borderId="9" xfId="0" applyFont="1" applyBorder="1" applyAlignment="1">
      <alignment vertical="center"/>
    </xf>
    <xf numFmtId="3" fontId="80" fillId="0" borderId="9" xfId="0" applyNumberFormat="1" applyFont="1" applyBorder="1" applyAlignment="1">
      <alignment horizontal="right" vertical="center"/>
    </xf>
    <xf numFmtId="0" fontId="81" fillId="0" borderId="0" xfId="0" applyFont="1" applyAlignment="1">
      <alignment vertical="center"/>
    </xf>
    <xf numFmtId="0" fontId="79" fillId="0" borderId="9" xfId="0" applyFont="1" applyBorder="1" applyAlignment="1">
      <alignment vertical="center"/>
    </xf>
    <xf numFmtId="0" fontId="9" fillId="4" borderId="0" xfId="0" applyFont="1" applyFill="1" applyAlignment="1">
      <alignment vertical="center"/>
    </xf>
    <xf numFmtId="3" fontId="9" fillId="4" borderId="0" xfId="0" applyNumberFormat="1" applyFont="1" applyFill="1" applyAlignment="1">
      <alignment horizontal="right" vertical="center"/>
    </xf>
    <xf numFmtId="0" fontId="83" fillId="0" borderId="0" xfId="0" applyFont="1" applyAlignment="1">
      <alignment vertical="center"/>
    </xf>
    <xf numFmtId="0" fontId="24" fillId="0" borderId="0" xfId="0" applyFont="1" applyAlignment="1">
      <alignment vertical="top"/>
    </xf>
    <xf numFmtId="3" fontId="24" fillId="0" borderId="0" xfId="0" applyNumberFormat="1" applyFont="1" applyAlignment="1">
      <alignment horizontal="right" vertical="top"/>
    </xf>
    <xf numFmtId="3" fontId="82" fillId="0" borderId="0" xfId="0" applyNumberFormat="1" applyFont="1" applyAlignment="1">
      <alignment vertical="center"/>
    </xf>
    <xf numFmtId="0" fontId="82" fillId="0" borderId="0" xfId="0" applyFont="1"/>
    <xf numFmtId="3" fontId="84" fillId="0" borderId="9" xfId="0" applyNumberFormat="1" applyFont="1" applyBorder="1" applyAlignment="1">
      <alignment horizontal="right" vertical="center"/>
    </xf>
    <xf numFmtId="3" fontId="81" fillId="0" borderId="0" xfId="0" applyNumberFormat="1" applyFont="1" applyAlignment="1">
      <alignment vertical="center"/>
    </xf>
    <xf numFmtId="3" fontId="81" fillId="0" borderId="0" xfId="0" applyNumberFormat="1" applyFont="1" applyAlignment="1">
      <alignment vertical="top"/>
    </xf>
    <xf numFmtId="3" fontId="85" fillId="6" borderId="0" xfId="0" applyNumberFormat="1" applyFont="1" applyFill="1" applyAlignment="1">
      <alignment horizontal="right" vertical="center"/>
    </xf>
    <xf numFmtId="3" fontId="86" fillId="4" borderId="0" xfId="0" applyNumberFormat="1" applyFont="1" applyFill="1" applyAlignment="1">
      <alignment horizontal="right" vertical="center"/>
    </xf>
    <xf numFmtId="0" fontId="16" fillId="0" borderId="0" xfId="0" applyFont="1" applyAlignment="1">
      <alignment horizontal="center"/>
    </xf>
    <xf numFmtId="0" fontId="54" fillId="6" borderId="7" xfId="0" applyFont="1" applyFill="1" applyBorder="1"/>
    <xf numFmtId="0" fontId="44" fillId="6" borderId="7" xfId="0" applyFont="1" applyFill="1" applyBorder="1"/>
    <xf numFmtId="4" fontId="0" fillId="0" borderId="0" xfId="0" applyNumberFormat="1"/>
    <xf numFmtId="0" fontId="74" fillId="6" borderId="0" xfId="0" applyFont="1" applyFill="1" applyAlignment="1">
      <alignment horizontal="center" vertical="center" wrapText="1"/>
    </xf>
    <xf numFmtId="0" fontId="88" fillId="17" borderId="0" xfId="0" applyFont="1" applyFill="1" applyAlignment="1">
      <alignment horizontal="center" vertical="center" wrapText="1"/>
    </xf>
    <xf numFmtId="4" fontId="87" fillId="0" borderId="17" xfId="0" applyNumberFormat="1" applyFont="1" applyBorder="1"/>
    <xf numFmtId="0" fontId="87" fillId="0" borderId="17" xfId="0" applyFont="1" applyBorder="1"/>
    <xf numFmtId="164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0" fontId="33" fillId="7" borderId="0" xfId="0" applyFont="1" applyFill="1" applyAlignment="1" applyProtection="1">
      <alignment horizontal="center" vertical="center"/>
      <protection locked="0"/>
    </xf>
    <xf numFmtId="0" fontId="24" fillId="0" borderId="0" xfId="0" applyFont="1" applyAlignment="1">
      <alignment horizontal="left" vertical="top" wrapText="1"/>
    </xf>
    <xf numFmtId="0" fontId="38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47" fillId="3" borderId="0" xfId="0" applyFont="1" applyFill="1" applyAlignment="1">
      <alignment horizontal="left" vertical="center" wrapText="1"/>
    </xf>
    <xf numFmtId="0" fontId="70" fillId="4" borderId="0" xfId="0" applyFont="1" applyFill="1" applyAlignment="1">
      <alignment horizontal="center" vertical="center"/>
    </xf>
    <xf numFmtId="0" fontId="69" fillId="16" borderId="0" xfId="0" applyFont="1" applyFill="1" applyAlignment="1">
      <alignment horizontal="center" vertical="center"/>
    </xf>
  </cellXfs>
  <cellStyles count="4">
    <cellStyle name="Bad" xfId="1" builtinId="27"/>
    <cellStyle name="Comma" xfId="3" builtinId="3"/>
    <cellStyle name="Hyperlink" xfId="2" builtinId="8"/>
    <cellStyle name="Normal" xfId="0" builtinId="0"/>
  </cellStyles>
  <dxfs count="194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ill>
        <patternFill patternType="solid">
          <bgColor rgb="FF786964"/>
        </patternFill>
      </fill>
    </dxf>
    <dxf>
      <font>
        <color theme="0"/>
      </font>
    </dxf>
    <dxf>
      <fill>
        <patternFill patternType="solid">
          <bgColor rgb="FF786964"/>
        </patternFill>
      </fill>
    </dxf>
    <dxf>
      <fill>
        <patternFill patternType="solid">
          <bgColor rgb="FF786964"/>
        </patternFill>
      </fill>
    </dxf>
    <dxf>
      <fill>
        <patternFill patternType="solid">
          <bgColor rgb="FF786964"/>
        </patternFill>
      </fill>
    </dxf>
    <dxf>
      <fill>
        <patternFill patternType="solid">
          <bgColor rgb="FF786964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rgb="FF011E41"/>
        </patternFill>
      </fill>
    </dxf>
    <dxf>
      <fill>
        <patternFill patternType="solid">
          <bgColor rgb="FF011E41"/>
        </patternFill>
      </fill>
    </dxf>
    <dxf>
      <font>
        <color theme="0"/>
      </font>
    </dxf>
    <dxf>
      <font>
        <color theme="0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ont>
        <color auto="1"/>
      </font>
    </dxf>
    <dxf>
      <font>
        <color auto="1"/>
      </font>
    </dxf>
    <dxf>
      <font>
        <sz val="8"/>
      </font>
    </dxf>
    <dxf>
      <font>
        <sz val="8"/>
      </font>
    </dxf>
    <dxf>
      <font>
        <b/>
      </font>
    </dxf>
    <dxf>
      <font>
        <b/>
      </font>
    </dxf>
    <dxf>
      <border>
        <top style="thin">
          <color indexed="64"/>
        </top>
        <bottom style="medium">
          <color indexed="64"/>
        </bottom>
      </border>
    </dxf>
    <dxf>
      <border>
        <top style="thin">
          <color indexed="64"/>
        </top>
        <bottom style="medium">
          <color indexed="64"/>
        </bottom>
      </border>
    </dxf>
    <dxf>
      <numFmt numFmtId="166" formatCode="_ * #,##0_ ;_ * \-#,##0_ ;_ * &quot;-&quot;??_ ;_ @_ "/>
    </dxf>
    <dxf>
      <numFmt numFmtId="164" formatCode="_ * #,##0.00_ ;_ * \-#,##0.00_ ;_ * &quot;-&quot;??_ ;_ @_ "/>
    </dxf>
    <dxf>
      <alignment horizontal="right"/>
    </dxf>
    <dxf>
      <alignment horizontal="right"/>
    </dxf>
    <dxf>
      <numFmt numFmtId="166" formatCode="_ * #,##0_ ;_ * \-#,##0_ ;_ * &quot;-&quot;??_ ;_ @_ "/>
    </dxf>
    <dxf>
      <numFmt numFmtId="164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Open Sans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Open Sans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Open Sans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Open Sans"/>
        <family val="2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Open Sans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Open Sans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Open Sans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Open Sans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Open Sans"/>
        <family val="2"/>
        <scheme val="none"/>
      </font>
      <fill>
        <patternFill patternType="none">
          <fgColor indexed="64"/>
          <bgColor indexed="65"/>
        </patternFill>
      </fill>
    </dxf>
    <dxf>
      <numFmt numFmtId="164" formatCode="_ * #,##0.00_ ;_ * \-#,##0.00_ ;_ * &quot;-&quot;??_ ;_ @_ "/>
    </dxf>
    <dxf>
      <numFmt numFmtId="166" formatCode="_ * #,##0_ ;_ * \-#,##0_ ;_ * &quot;-&quot;??_ ;_ @_ "/>
    </dxf>
    <dxf>
      <alignment horizontal="right"/>
    </dxf>
    <dxf>
      <alignment horizontal="right"/>
    </dxf>
    <dxf>
      <numFmt numFmtId="164" formatCode="_ * #,##0.00_ ;_ * \-#,##0.00_ ;_ * &quot;-&quot;??_ ;_ @_ "/>
    </dxf>
    <dxf>
      <numFmt numFmtId="166" formatCode="_ * #,##0_ ;_ * \-#,##0_ ;_ * &quot;-&quot;??_ ;_ @_ "/>
    </dxf>
    <dxf>
      <border>
        <top style="thin">
          <color indexed="64"/>
        </top>
        <bottom style="medium">
          <color indexed="64"/>
        </bottom>
      </border>
    </dxf>
    <dxf>
      <border>
        <top style="thin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ont>
        <sz val="8"/>
      </font>
    </dxf>
    <dxf>
      <font>
        <sz val="8"/>
      </font>
    </dxf>
    <dxf>
      <font>
        <color auto="1"/>
      </font>
    </dxf>
    <dxf>
      <font>
        <color auto="1"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color theme="0"/>
      </font>
    </dxf>
    <dxf>
      <font>
        <color theme="0"/>
      </font>
    </dxf>
    <dxf>
      <fill>
        <patternFill patternType="solid">
          <bgColor rgb="FF011E41"/>
        </patternFill>
      </fill>
    </dxf>
    <dxf>
      <fill>
        <patternFill patternType="solid">
          <bgColor rgb="FF011E4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rgb="FF786964"/>
        </patternFill>
      </fill>
    </dxf>
    <dxf>
      <fill>
        <patternFill patternType="solid">
          <bgColor rgb="FF786964"/>
        </patternFill>
      </fill>
    </dxf>
    <dxf>
      <fill>
        <patternFill patternType="solid">
          <bgColor rgb="FF786964"/>
        </patternFill>
      </fill>
    </dxf>
    <dxf>
      <fill>
        <patternFill patternType="solid">
          <bgColor rgb="FF786964"/>
        </patternFill>
      </fill>
    </dxf>
    <dxf>
      <font>
        <color theme="0"/>
      </font>
    </dxf>
    <dxf>
      <fill>
        <patternFill patternType="solid">
          <bgColor rgb="FF786964"/>
        </patternFill>
      </fill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Open Sans"/>
        <family val="2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Open Sans"/>
        <family val="2"/>
        <scheme val="none"/>
      </font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Open Sans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Open Sans"/>
        <family val="2"/>
        <scheme val="none"/>
      </font>
      <alignment horizontal="general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Open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Open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5F5F5"/>
        </patternFill>
      </fill>
    </dxf>
    <dxf>
      <font>
        <color theme="0"/>
      </font>
      <fill>
        <patternFill>
          <bgColor rgb="FFF5333F"/>
        </patternFill>
      </fill>
    </dxf>
    <dxf>
      <fill>
        <patternFill patternType="none">
          <bgColor auto="1"/>
        </patternFill>
      </fill>
      <border>
        <left style="thin">
          <color rgb="FFF5333F"/>
        </left>
        <right style="thin">
          <color rgb="FFF5333F"/>
        </right>
        <top style="thin">
          <color rgb="FFF5333F"/>
        </top>
        <bottom style="thin">
          <color rgb="FFF5333F"/>
        </bottom>
      </border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11E41"/>
        </patternFill>
      </fill>
    </dxf>
    <dxf>
      <font>
        <color theme="0"/>
      </font>
      <fill>
        <patternFill>
          <bgColor rgb="FFF5333F"/>
        </patternFill>
      </fill>
    </dxf>
    <dxf>
      <font>
        <b/>
        <i val="0"/>
        <color theme="0"/>
      </font>
      <fill>
        <patternFill>
          <bgColor rgb="FFF5333F"/>
        </patternFill>
      </fill>
    </dxf>
    <dxf>
      <border>
        <left style="thin">
          <color rgb="FFF5333F"/>
        </left>
        <right style="thin">
          <color rgb="FFF5333F"/>
        </right>
        <top style="thin">
          <color rgb="FFF5333F"/>
        </top>
        <bottom style="thin">
          <color rgb="FFF5333F"/>
        </bottom>
      </border>
    </dxf>
    <dxf>
      <border>
        <top style="thin">
          <color theme="1" tint="0.499984740745262"/>
        </top>
        <bottom style="thin">
          <color theme="1" tint="0.499984740745262"/>
        </bottom>
      </border>
    </dxf>
    <dxf>
      <border>
        <top style="thin">
          <color theme="1" tint="0.499984740745262"/>
        </top>
        <bottom style="thin">
          <color theme="1" tint="0.499984740745262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b/>
        <color theme="1"/>
      </font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1"/>
      </font>
      <border>
        <horizontal style="thin">
          <color theme="0" tint="-0.14999847407452621"/>
        </horizontal>
      </border>
    </dxf>
    <dxf>
      <font>
        <b/>
        <i val="0"/>
      </font>
    </dxf>
    <dxf>
      <fill>
        <patternFill>
          <bgColor theme="0" tint="-4.9989318521683403E-2"/>
        </patternFill>
      </fill>
    </dxf>
    <dxf>
      <font>
        <strike val="0"/>
        <color theme="0"/>
      </font>
      <fill>
        <patternFill>
          <bgColor rgb="FF786964"/>
        </patternFill>
      </fill>
    </dxf>
  </dxfs>
  <tableStyles count="5" defaultTableStyle="TableStyleMedium2" defaultPivotStyle="PivotStyleLight16">
    <tableStyle name="EPOA " pivot="0" count="2" xr9:uid="{D15AD850-E01B-4954-BC55-B0CAEED8634A}">
      <tableStyleElement type="headerRow" dxfId="193"/>
      <tableStyleElement type="firstRowStripe" dxfId="192"/>
    </tableStyle>
    <tableStyle name="fedbudget" table="0" count="1" xr9:uid="{F3D1BBA0-A603-48C3-8528-6B0C9F1EB4E3}">
      <tableStyleElement type="headerRow" dxfId="191"/>
    </tableStyle>
    <tableStyle name="PivotStyleLight1 2" table="0" count="5" xr9:uid="{C52B1592-4855-4AC3-969B-9EEB4DD7FC0B}">
      <tableStyleElement type="wholeTable" dxfId="190"/>
      <tableStyleElement type="headerRow" dxfId="189"/>
      <tableStyleElement type="totalRow" dxfId="188"/>
      <tableStyleElement type="pageFieldLabels" dxfId="187"/>
      <tableStyleElement type="pageFieldValues" dxfId="186"/>
    </tableStyle>
    <tableStyle name="PivotTable Style 1" table="0" count="5" xr9:uid="{142EBAA6-144F-410E-B6FD-831B35D7ED56}">
      <tableStyleElement type="wholeTable" dxfId="185"/>
      <tableStyleElement type="headerRow" dxfId="184"/>
      <tableStyleElement type="totalRow" dxfId="183"/>
      <tableStyleElement type="firstRowSubheading" dxfId="182"/>
      <tableStyleElement type="secondRowSubheading" dxfId="181"/>
    </tableStyle>
    <tableStyle name="Table Style 1" pivot="0" count="3" xr9:uid="{8ECAC567-3EF8-4A04-AFB5-F2A88F5734D5}">
      <tableStyleElement type="wholeTable" dxfId="180"/>
      <tableStyleElement type="headerRow" dxfId="179"/>
      <tableStyleElement type="firstRowStripe" dxfId="178"/>
    </tableStyle>
  </tableStyles>
  <colors>
    <mruColors>
      <color rgb="FF011E41"/>
      <color rgb="FFF5333F"/>
      <color rgb="FF323232"/>
      <color rgb="FF7B7B7B"/>
      <color rgb="FFE0E0E0"/>
      <color rgb="FF786964"/>
      <color rgb="FFF5F5F5"/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28575</xdr:rowOff>
    </xdr:from>
    <xdr:to>
      <xdr:col>1</xdr:col>
      <xdr:colOff>521100</xdr:colOff>
      <xdr:row>3</xdr:row>
      <xdr:rowOff>161187</xdr:rowOff>
    </xdr:to>
    <xdr:pic>
      <xdr:nvPicPr>
        <xdr:cNvPr id="2" name="Picture 1" descr="Logo&#10;&#10;Description automatically generated">
          <a:extLst>
            <a:ext uri="{FF2B5EF4-FFF2-40B4-BE49-F238E27FC236}">
              <a16:creationId xmlns:a16="http://schemas.microsoft.com/office/drawing/2014/main" id="{24F979B6-CCC4-4E4C-BBF1-9A0BA07933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28575"/>
          <a:ext cx="864000" cy="8184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357270</xdr:colOff>
      <xdr:row>3</xdr:row>
      <xdr:rowOff>140232</xdr:rowOff>
    </xdr:to>
    <xdr:pic>
      <xdr:nvPicPr>
        <xdr:cNvPr id="3" name="Picture 2" descr="Logo&#10;&#10;Description automatically generated">
          <a:extLst>
            <a:ext uri="{FF2B5EF4-FFF2-40B4-BE49-F238E27FC236}">
              <a16:creationId xmlns:a16="http://schemas.microsoft.com/office/drawing/2014/main" id="{D129F95D-DE7E-4367-9C3A-F019E746A6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" y="0"/>
          <a:ext cx="875430" cy="8107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38100</xdr:rowOff>
    </xdr:from>
    <xdr:to>
      <xdr:col>1</xdr:col>
      <xdr:colOff>883050</xdr:colOff>
      <xdr:row>3</xdr:row>
      <xdr:rowOff>170712</xdr:rowOff>
    </xdr:to>
    <xdr:pic>
      <xdr:nvPicPr>
        <xdr:cNvPr id="2" name="Picture 1" descr="Logo&#10;&#10;Description automatically generated">
          <a:extLst>
            <a:ext uri="{FF2B5EF4-FFF2-40B4-BE49-F238E27FC236}">
              <a16:creationId xmlns:a16="http://schemas.microsoft.com/office/drawing/2014/main" id="{B71D9B66-103D-4779-B173-4C3AD03800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38100"/>
          <a:ext cx="864000" cy="8184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28575</xdr:rowOff>
    </xdr:from>
    <xdr:to>
      <xdr:col>1</xdr:col>
      <xdr:colOff>349650</xdr:colOff>
      <xdr:row>1</xdr:row>
      <xdr:rowOff>389787</xdr:rowOff>
    </xdr:to>
    <xdr:pic>
      <xdr:nvPicPr>
        <xdr:cNvPr id="2" name="Picture 1" descr="Logo&#10;&#10;Description automatically generated">
          <a:extLst>
            <a:ext uri="{FF2B5EF4-FFF2-40B4-BE49-F238E27FC236}">
              <a16:creationId xmlns:a16="http://schemas.microsoft.com/office/drawing/2014/main" id="{9CD1F671-D39C-4A8D-9D68-E9DD5DA121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864000" cy="8184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34</xdr:row>
      <xdr:rowOff>123825</xdr:rowOff>
    </xdr:from>
    <xdr:to>
      <xdr:col>6</xdr:col>
      <xdr:colOff>259715</xdr:colOff>
      <xdr:row>37</xdr:row>
      <xdr:rowOff>105410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CD3EFF47-8A67-498A-905B-8B702F45DCC5}"/>
            </a:ext>
          </a:extLst>
        </xdr:cNvPr>
        <xdr:cNvSpPr/>
      </xdr:nvSpPr>
      <xdr:spPr>
        <a:xfrm>
          <a:off x="771525" y="8963025"/>
          <a:ext cx="4326890" cy="524510"/>
        </a:xfrm>
        <a:prstGeom prst="leftArrow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u="sng">
              <a:solidFill>
                <a:srgbClr val="FF0000"/>
              </a:solidFill>
            </a:rPr>
            <a:t>Select row above</a:t>
          </a:r>
          <a:r>
            <a:rPr lang="en-GB" sz="1100" u="sng" baseline="0">
              <a:solidFill>
                <a:srgbClr val="FF0000"/>
              </a:solidFill>
            </a:rPr>
            <a:t> output code total</a:t>
          </a:r>
          <a:r>
            <a:rPr lang="en-GB" sz="1100" baseline="0">
              <a:solidFill>
                <a:srgbClr val="FF0000"/>
              </a:solidFill>
            </a:rPr>
            <a:t>, right click and insert row</a:t>
          </a:r>
        </a:p>
        <a:p>
          <a:pPr algn="l"/>
          <a:r>
            <a:rPr lang="en-GB" sz="1100">
              <a:solidFill>
                <a:srgbClr val="FF0000"/>
              </a:solidFill>
            </a:rPr>
            <a:t>,</a:t>
          </a:r>
        </a:p>
      </xdr:txBody>
    </xdr:sp>
    <xdr:clientData/>
  </xdr:twoCellAnchor>
  <xdr:twoCellAnchor>
    <xdr:from>
      <xdr:col>1</xdr:col>
      <xdr:colOff>66675</xdr:colOff>
      <xdr:row>42</xdr:row>
      <xdr:rowOff>0</xdr:rowOff>
    </xdr:from>
    <xdr:to>
      <xdr:col>6</xdr:col>
      <xdr:colOff>259715</xdr:colOff>
      <xdr:row>44</xdr:row>
      <xdr:rowOff>157904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F3EEEEF7-968B-4D66-947C-E473E05EF51D}"/>
            </a:ext>
          </a:extLst>
        </xdr:cNvPr>
        <xdr:cNvSpPr/>
      </xdr:nvSpPr>
      <xdr:spPr>
        <a:xfrm>
          <a:off x="771525" y="10496550"/>
          <a:ext cx="4326890" cy="519854"/>
        </a:xfrm>
        <a:prstGeom prst="leftArrow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u="sng" baseline="0">
              <a:solidFill>
                <a:srgbClr val="FF0000"/>
              </a:solidFill>
            </a:rPr>
            <a:t>Add the output code (example here AP005)</a:t>
          </a:r>
          <a:endParaRPr lang="en-GB" sz="1100" baseline="0">
            <a:solidFill>
              <a:srgbClr val="FF0000"/>
            </a:solidFill>
          </a:endParaRPr>
        </a:p>
        <a:p>
          <a:pPr algn="l"/>
          <a:r>
            <a:rPr lang="en-GB" sz="1100">
              <a:solidFill>
                <a:srgbClr val="FF0000"/>
              </a:solidFill>
            </a:rPr>
            <a:t>,</a:t>
          </a:r>
        </a:p>
      </xdr:txBody>
    </xdr:sp>
    <xdr:clientData/>
  </xdr:twoCellAnchor>
  <xdr:twoCellAnchor editAs="oneCell">
    <xdr:from>
      <xdr:col>0</xdr:col>
      <xdr:colOff>495300</xdr:colOff>
      <xdr:row>69</xdr:row>
      <xdr:rowOff>76199</xdr:rowOff>
    </xdr:from>
    <xdr:to>
      <xdr:col>3</xdr:col>
      <xdr:colOff>0</xdr:colOff>
      <xdr:row>85</xdr:row>
      <xdr:rowOff>138848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7CCB5CA-C6AB-4E0A-986B-DA65B8AEE3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495300" y="15039974"/>
          <a:ext cx="1943100" cy="3415449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69</xdr:row>
      <xdr:rowOff>47625</xdr:rowOff>
    </xdr:from>
    <xdr:to>
      <xdr:col>6</xdr:col>
      <xdr:colOff>142875</xdr:colOff>
      <xdr:row>71</xdr:row>
      <xdr:rowOff>151341</xdr:rowOff>
    </xdr:to>
    <xdr:sp macro="" textlink="">
      <xdr:nvSpPr>
        <xdr:cNvPr id="6" name="Callout: Left Arrow 5">
          <a:extLst>
            <a:ext uri="{FF2B5EF4-FFF2-40B4-BE49-F238E27FC236}">
              <a16:creationId xmlns:a16="http://schemas.microsoft.com/office/drawing/2014/main" id="{872FEABF-B38A-4A93-928D-98CA5E391347}"/>
            </a:ext>
          </a:extLst>
        </xdr:cNvPr>
        <xdr:cNvSpPr/>
      </xdr:nvSpPr>
      <xdr:spPr>
        <a:xfrm>
          <a:off x="2305050" y="15011400"/>
          <a:ext cx="2333625" cy="522816"/>
        </a:xfrm>
        <a:prstGeom prst="leftArrowCallout">
          <a:avLst>
            <a:gd name="adj1" fmla="val 25000"/>
            <a:gd name="adj2" fmla="val 25000"/>
            <a:gd name="adj3" fmla="val 25000"/>
            <a:gd name="adj4" fmla="val 86403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100" u="none">
              <a:solidFill>
                <a:srgbClr val="FF0000"/>
              </a:solidFill>
              <a:latin typeface="+mn-lt"/>
              <a:ea typeface="+mn-ea"/>
              <a:cs typeface="+mn-cs"/>
            </a:rPr>
            <a:t>Go to the Table Title "Total Cost CHF", select the filter arrow</a:t>
          </a:r>
        </a:p>
      </xdr:txBody>
    </xdr:sp>
    <xdr:clientData/>
  </xdr:twoCellAnchor>
  <xdr:twoCellAnchor editAs="oneCell">
    <xdr:from>
      <xdr:col>4</xdr:col>
      <xdr:colOff>561975</xdr:colOff>
      <xdr:row>84</xdr:row>
      <xdr:rowOff>76200</xdr:rowOff>
    </xdr:from>
    <xdr:to>
      <xdr:col>8</xdr:col>
      <xdr:colOff>400050</xdr:colOff>
      <xdr:row>93</xdr:row>
      <xdr:rowOff>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11D1483-17D6-41F7-A2A3-B71D3F4098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3434"/>
        <a:stretch/>
      </xdr:blipFill>
      <xdr:spPr>
        <a:xfrm>
          <a:off x="3686175" y="18183225"/>
          <a:ext cx="2581275" cy="1781175"/>
        </a:xfrm>
        <a:prstGeom prst="rect">
          <a:avLst/>
        </a:prstGeom>
      </xdr:spPr>
    </xdr:pic>
    <xdr:clientData/>
  </xdr:twoCellAnchor>
  <xdr:twoCellAnchor>
    <xdr:from>
      <xdr:col>5</xdr:col>
      <xdr:colOff>457200</xdr:colOff>
      <xdr:row>84</xdr:row>
      <xdr:rowOff>0</xdr:rowOff>
    </xdr:from>
    <xdr:to>
      <xdr:col>7</xdr:col>
      <xdr:colOff>523875</xdr:colOff>
      <xdr:row>86</xdr:row>
      <xdr:rowOff>50799</xdr:rowOff>
    </xdr:to>
    <xdr:sp macro="" textlink="">
      <xdr:nvSpPr>
        <xdr:cNvPr id="9" name="Callout: Left Arrow 8">
          <a:extLst>
            <a:ext uri="{FF2B5EF4-FFF2-40B4-BE49-F238E27FC236}">
              <a16:creationId xmlns:a16="http://schemas.microsoft.com/office/drawing/2014/main" id="{C2C00DAF-63BF-410C-BDEC-4E53C32D944A}"/>
            </a:ext>
          </a:extLst>
        </xdr:cNvPr>
        <xdr:cNvSpPr/>
      </xdr:nvSpPr>
      <xdr:spPr>
        <a:xfrm>
          <a:off x="4267200" y="18107025"/>
          <a:ext cx="1438275" cy="469899"/>
        </a:xfrm>
        <a:prstGeom prst="leftArrowCallout">
          <a:avLst>
            <a:gd name="adj1" fmla="val 25000"/>
            <a:gd name="adj2" fmla="val 25000"/>
            <a:gd name="adj3" fmla="val 25000"/>
            <a:gd name="adj4" fmla="val 83206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100" u="none">
              <a:solidFill>
                <a:srgbClr val="FF0000"/>
              </a:solidFill>
              <a:latin typeface="+mn-lt"/>
              <a:ea typeface="+mn-ea"/>
              <a:cs typeface="+mn-cs"/>
            </a:rPr>
            <a:t>Using the Outline Selection Panel</a:t>
          </a:r>
        </a:p>
      </xdr:txBody>
    </xdr:sp>
    <xdr:clientData/>
  </xdr:twoCellAnchor>
  <xdr:twoCellAnchor>
    <xdr:from>
      <xdr:col>1</xdr:col>
      <xdr:colOff>742950</xdr:colOff>
      <xdr:row>77</xdr:row>
      <xdr:rowOff>200026</xdr:rowOff>
    </xdr:from>
    <xdr:to>
      <xdr:col>3</xdr:col>
      <xdr:colOff>200025</xdr:colOff>
      <xdr:row>79</xdr:row>
      <xdr:rowOff>161926</xdr:rowOff>
    </xdr:to>
    <xdr:sp macro="" textlink="">
      <xdr:nvSpPr>
        <xdr:cNvPr id="11" name="Callout: Left Arrow 10">
          <a:extLst>
            <a:ext uri="{FF2B5EF4-FFF2-40B4-BE49-F238E27FC236}">
              <a16:creationId xmlns:a16="http://schemas.microsoft.com/office/drawing/2014/main" id="{063AD8F0-0DA2-4102-A393-F0D40DC27EE1}"/>
            </a:ext>
          </a:extLst>
        </xdr:cNvPr>
        <xdr:cNvSpPr/>
      </xdr:nvSpPr>
      <xdr:spPr>
        <a:xfrm>
          <a:off x="1304925" y="16840201"/>
          <a:ext cx="1333500" cy="381000"/>
        </a:xfrm>
        <a:prstGeom prst="leftArrowCallout">
          <a:avLst>
            <a:gd name="adj1" fmla="val 18157"/>
            <a:gd name="adj2" fmla="val 40000"/>
            <a:gd name="adj3" fmla="val 21296"/>
            <a:gd name="adj4" fmla="val 76325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GB" sz="1100" u="none">
              <a:solidFill>
                <a:srgbClr val="FF0000"/>
              </a:solidFill>
              <a:latin typeface="+mn-lt"/>
              <a:ea typeface="+mn-ea"/>
              <a:cs typeface="+mn-cs"/>
            </a:rPr>
            <a:t>De-Select</a:t>
          </a:r>
          <a:r>
            <a:rPr lang="en-GB" sz="1100" u="none" baseline="0">
              <a:solidFill>
                <a:srgbClr val="FF0000"/>
              </a:solidFill>
              <a:latin typeface="+mn-lt"/>
              <a:ea typeface="+mn-ea"/>
              <a:cs typeface="+mn-cs"/>
            </a:rPr>
            <a:t> 0.00</a:t>
          </a:r>
          <a:endParaRPr lang="en-GB" sz="1100" u="none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frcorg.sharepoint.com/sites/IFRCSharing/Shared%20Documents/DREF%20Application%20Resources/DREF%20Application%20Templates/EAP%20budget%20template%202022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dget_tool"/>
      <sheetName val="EAP for publication"/>
      <sheetName val="Summary by APcode"/>
      <sheetName val="Summary by Year"/>
      <sheetName val="Resource Budget summary"/>
      <sheetName val="budget_groups"/>
      <sheetName val="output codes"/>
      <sheetName val="FedBudget data"/>
      <sheetName val="Guidelin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na Maria ESCOBAR" refreshedDate="45756.452216203703" backgroundQuery="1" createdVersion="7" refreshedVersion="8" minRefreshableVersion="3" recordCount="0" supportSubquery="1" supportAdvancedDrill="1" xr:uid="{60150E8F-1C6E-4701-80F3-8CEC0483501D}">
  <cacheSource type="external" connectionId="1"/>
  <cacheFields count="9">
    <cacheField name="[OUTPUTS].[RESULT].[RESULT]" caption="RESULT" numFmtId="0" hierarchy="21" level="1">
      <sharedItems count="1">
        <s v="PO01 - Shelter and Basic Household Items"/>
      </sharedItems>
    </cacheField>
    <cacheField name="[OUTPUTS].[Output].[Output]" caption="Output" numFmtId="0" hierarchy="14" level="1">
      <sharedItems count="1">
        <s v="AP005"/>
      </sharedItems>
    </cacheField>
    <cacheField name="[BUDGET].[Description].[Description]" caption="Description" numFmtId="0" hierarchy="1" level="1">
      <sharedItems containsNonDate="0" containsString="0" containsBlank="1" count="1">
        <m/>
      </sharedItems>
    </cacheField>
    <cacheField name="[BUDGET].[Quantity].[Quantity]" caption="Quantity" numFmtId="0" hierarchy="3" level="1">
      <sharedItems containsSemiMixedTypes="0" containsString="0" containsNumber="1" containsInteger="1" minValue="1" maxValue="1" count="1">
        <n v="1"/>
      </sharedItems>
      <extLst>
        <ext xmlns:x15="http://schemas.microsoft.com/office/spreadsheetml/2010/11/main" uri="{4F2E5C28-24EA-4eb8-9CBF-B6C8F9C3D259}">
          <x15:cachedUniqueNames>
            <x15:cachedUniqueName index="0" name="[BUDGET].[Quantity].&amp;[1]"/>
          </x15:cachedUniqueNames>
        </ext>
      </extLst>
    </cacheField>
    <cacheField name="[BUDGET].[Unit].[Unit]" caption="Unit" numFmtId="0" hierarchy="4" level="1">
      <sharedItems containsSemiMixedTypes="0" containsString="0" containsNumber="1" containsInteger="1" minValue="2" maxValue="2" count="1">
        <n v="2"/>
      </sharedItems>
      <extLst>
        <ext xmlns:x15="http://schemas.microsoft.com/office/spreadsheetml/2010/11/main" uri="{4F2E5C28-24EA-4eb8-9CBF-B6C8F9C3D259}">
          <x15:cachedUniqueNames>
            <x15:cachedUniqueName index="0" name="[BUDGET].[Unit].&amp;[2]"/>
          </x15:cachedUniqueNames>
        </ext>
      </extLst>
    </cacheField>
    <cacheField name="[BUDGET].[Unit Cost].[Unit Cost]" caption="Unit Cost" numFmtId="0" hierarchy="5" level="1">
      <sharedItems count="1">
        <s v="3,000.00"/>
      </sharedItems>
    </cacheField>
    <cacheField name="[BUDGET].[Budget Group].[Budget Group]" caption="Budget Group" numFmtId="0" hierarchy="2" level="1">
      <sharedItems containsSemiMixedTypes="0" containsString="0" containsNumber="1" containsInteger="1" minValue="520" maxValue="520" count="1">
        <n v="520"/>
      </sharedItems>
      <extLst>
        <ext xmlns:x15="http://schemas.microsoft.com/office/spreadsheetml/2010/11/main" uri="{4F2E5C28-24EA-4eb8-9CBF-B6C8F9C3D259}">
          <x15:cachedUniqueNames>
            <x15:cachedUniqueName index="0" name="[BUDGET].[Budget Group].&amp;[520]"/>
          </x15:cachedUniqueNames>
        </ext>
      </extLst>
    </cacheField>
    <cacheField name="[BUDGET].[Output Code].[Output Code]" caption="Output Code" numFmtId="0" level="1">
      <sharedItems count="1">
        <s v="AP005"/>
      </sharedItems>
    </cacheField>
    <cacheField name="[Measures].[Sum of Total Cost CHF]" caption="Sum of Total Cost CHF" numFmtId="0" hierarchy="25" level="32767"/>
  </cacheFields>
  <cacheHierarchies count="26">
    <cacheHierarchy uniqueName="[BUDGET].[Output Code]" caption="Output Code" attribute="1" defaultMemberUniqueName="[BUDGET].[Output Code].[All]" allUniqueName="[BUDGET].[Output Code].[All]" dimensionUniqueName="[BUDGET]" displayFolder="" count="2" memberValueDatatype="130" unbalanced="0">
      <fieldsUsage count="2">
        <fieldUsage x="-1"/>
        <fieldUsage x="7"/>
      </fieldsUsage>
    </cacheHierarchy>
    <cacheHierarchy uniqueName="[BUDGET].[Description]" caption="Description" attribute="1" defaultMemberUniqueName="[BUDGET].[Description].[All]" allUniqueName="[BUDGET].[Description].[All]" dimensionUniqueName="[BUDGET]" displayFolder="" count="2" memberValueDatatype="130" unbalanced="0">
      <fieldsUsage count="2">
        <fieldUsage x="-1"/>
        <fieldUsage x="2"/>
      </fieldsUsage>
    </cacheHierarchy>
    <cacheHierarchy uniqueName="[BUDGET].[Budget Group]" caption="Budget Group" attribute="1" defaultMemberUniqueName="[BUDGET].[Budget Group].[All]" allUniqueName="[BUDGET].[Budget Group].[All]" dimensionUniqueName="[BUDGET]" displayFolder="" count="2" memberValueDatatype="20" unbalanced="0">
      <fieldsUsage count="2">
        <fieldUsage x="-1"/>
        <fieldUsage x="6"/>
      </fieldsUsage>
    </cacheHierarchy>
    <cacheHierarchy uniqueName="[BUDGET].[Quantity]" caption="Quantity" attribute="1" defaultMemberUniqueName="[BUDGET].[Quantity].[All]" allUniqueName="[BUDGET].[Quantity].[All]" dimensionUniqueName="[BUDGET]" displayFolder="" count="2" memberValueDatatype="20" unbalanced="0">
      <fieldsUsage count="2">
        <fieldUsage x="-1"/>
        <fieldUsage x="3"/>
      </fieldsUsage>
    </cacheHierarchy>
    <cacheHierarchy uniqueName="[BUDGET].[Unit]" caption="Unit" attribute="1" defaultMemberUniqueName="[BUDGET].[Unit].[All]" allUniqueName="[BUDGET].[Unit].[All]" dimensionUniqueName="[BUDGET]" displayFolder="" count="2" memberValueDatatype="20" unbalanced="0">
      <fieldsUsage count="2">
        <fieldUsage x="-1"/>
        <fieldUsage x="4"/>
      </fieldsUsage>
    </cacheHierarchy>
    <cacheHierarchy uniqueName="[BUDGET].[Unit Cost]" caption="Unit Cost" attribute="1" defaultMemberUniqueName="[BUDGET].[Unit Cost].[All]" allUniqueName="[BUDGET].[Unit Cost].[All]" dimensionUniqueName="[BUDGET]" displayFolder="" count="2" memberValueDatatype="130" unbalanced="0">
      <fieldsUsage count="2">
        <fieldUsage x="-1"/>
        <fieldUsage x="5"/>
      </fieldsUsage>
    </cacheHierarchy>
    <cacheHierarchy uniqueName="[BUDGET].[Total Cost LC]" caption="Total Cost LC" attribute="1" defaultMemberUniqueName="[BUDGET].[Total Cost LC].[All]" allUniqueName="[BUDGET].[Total Cost LC].[All]" dimensionUniqueName="[BUDGET]" displayFolder="" count="0" memberValueDatatype="20" unbalanced="0"/>
    <cacheHierarchy uniqueName="[BUDGET].[Total Cost CHF]" caption="Total Cost CHF" attribute="1" defaultMemberUniqueName="[BUDGET].[Total Cost CHF].[All]" allUniqueName="[BUDGET].[Total Cost CHF].[All]" dimensionUniqueName="[BUDGET]" displayFolder="" count="0" memberValueDatatype="20" unbalanced="0"/>
    <cacheHierarchy uniqueName="[OUTPUTS].[Group]" caption="Group" attribute="1" defaultMemberUniqueName="[OUTPUTS].[Group].[All]" allUniqueName="[OUTPUTS].[Group].[All]" dimensionUniqueName="[OUTPUTS]" displayFolder="" count="0" memberValueDatatype="130" unbalanced="0"/>
    <cacheHierarchy uniqueName="[OUTPUTS].[Group Name]" caption="Group Name" attribute="1" defaultMemberUniqueName="[OUTPUTS].[Group Name].[All]" allUniqueName="[OUTPUTS].[Group Name].[All]" dimensionUniqueName="[OUTPUTS]" displayFolder="" count="0" memberValueDatatype="130" unbalanced="0"/>
    <cacheHierarchy uniqueName="[OUTPUTS].[SP&amp;E]" caption="SP&amp;E" attribute="1" defaultMemberUniqueName="[OUTPUTS].[SP&amp;E].[All]" allUniqueName="[OUTPUTS].[SP&amp;E].[All]" dimensionUniqueName="[OUTPUTS]" displayFolder="" count="0" memberValueDatatype="130" unbalanced="0"/>
    <cacheHierarchy uniqueName="[OUTPUTS].[SP&amp;E Name]" caption="SP&amp;E Name" attribute="1" defaultMemberUniqueName="[OUTPUTS].[SP&amp;E Name].[All]" allUniqueName="[OUTPUTS].[SP&amp;E Name].[All]" dimensionUniqueName="[OUTPUTS]" displayFolder="" count="0" memberValueDatatype="130" unbalanced="0"/>
    <cacheHierarchy uniqueName="[OUTPUTS].[Outcome]" caption="Outcome" attribute="1" defaultMemberUniqueName="[OUTPUTS].[Outcome].[All]" allUniqueName="[OUTPUTS].[Outcome].[All]" dimensionUniqueName="[OUTPUTS]" displayFolder="" count="0" memberValueDatatype="130" unbalanced="0"/>
    <cacheHierarchy uniqueName="[OUTPUTS].[Outcome Name]" caption="Outcome Name" attribute="1" defaultMemberUniqueName="[OUTPUTS].[Outcome Name].[All]" allUniqueName="[OUTPUTS].[Outcome Name].[All]" dimensionUniqueName="[OUTPUTS]" displayFolder="" count="0" memberValueDatatype="130" unbalanced="0"/>
    <cacheHierarchy uniqueName="[OUTPUTS].[Output]" caption="Output" attribute="1" defaultMemberUniqueName="[OUTPUTS].[Output].[All]" allUniqueName="[OUTPUTS].[Output].[All]" dimensionUniqueName="[OUTPUTS]" displayFolder="" count="2" memberValueDatatype="130" unbalanced="0">
      <fieldsUsage count="2">
        <fieldUsage x="-1"/>
        <fieldUsage x="1"/>
      </fieldsUsage>
    </cacheHierarchy>
    <cacheHierarchy uniqueName="[OUTPUTS].[Output Name]" caption="Output Name" attribute="1" defaultMemberUniqueName="[OUTPUTS].[Output Name].[All]" allUniqueName="[OUTPUTS].[Output Name].[All]" dimensionUniqueName="[OUTPUTS]" displayFolder="" count="0" memberValueDatatype="130" unbalanced="0"/>
    <cacheHierarchy uniqueName="[OUTPUTS].[OP Plan]" caption="OP Plan" attribute="1" defaultMemberUniqueName="[OUTPUTS].[OP Plan].[All]" allUniqueName="[OUTPUTS].[OP Plan].[All]" dimensionUniqueName="[OUTPUTS]" displayFolder="" count="0" memberValueDatatype="130" unbalanced="0"/>
    <cacheHierarchy uniqueName="[OUTPUTS].[OP Plan Name]" caption="OP Plan Name" attribute="1" defaultMemberUniqueName="[OUTPUTS].[OP Plan Name].[All]" allUniqueName="[OUTPUTS].[OP Plan Name].[All]" dimensionUniqueName="[OUTPUTS]" displayFolder="" count="0" memberValueDatatype="130" unbalanced="0"/>
    <cacheHierarchy uniqueName="[OUTPUTS].[PLAN]" caption="PLAN" attribute="1" defaultMemberUniqueName="[OUTPUTS].[PLAN].[All]" allUniqueName="[OUTPUTS].[PLAN].[All]" dimensionUniqueName="[OUTPUTS]" displayFolder="" count="0" memberValueDatatype="130" unbalanced="0"/>
    <cacheHierarchy uniqueName="[OUTPUTS].[OP RM code]" caption="OP RM code" attribute="1" defaultMemberUniqueName="[OUTPUTS].[OP RM code].[All]" allUniqueName="[OUTPUTS].[OP RM code].[All]" dimensionUniqueName="[OUTPUTS]" displayFolder="" count="0" memberValueDatatype="130" unbalanced="0"/>
    <cacheHierarchy uniqueName="[OUTPUTS].[OP Plan Result Matrix]" caption="OP Plan Result Matrix" attribute="1" defaultMemberUniqueName="[OUTPUTS].[OP Plan Result Matrix].[All]" allUniqueName="[OUTPUTS].[OP Plan Result Matrix].[All]" dimensionUniqueName="[OUTPUTS]" displayFolder="" count="0" memberValueDatatype="130" unbalanced="0"/>
    <cacheHierarchy uniqueName="[OUTPUTS].[RESULT]" caption="RESULT" attribute="1" defaultMemberUniqueName="[OUTPUTS].[RESULT].[All]" allUniqueName="[OUTPUTS].[RESULT].[All]" dimensionUniqueName="[OUTPUTS]" displayFolder="" count="2" memberValueDatatype="130" unbalanced="0">
      <fieldsUsage count="2">
        <fieldUsage x="-1"/>
        <fieldUsage x="0"/>
      </fieldsUsage>
    </cacheHierarchy>
    <cacheHierarchy uniqueName="[Measures].[__XL_Count OUTPUTS]" caption="__XL_Count OUTPUTS" measure="1" displayFolder="" measureGroup="OUTPUTS" count="0" hidden="1"/>
    <cacheHierarchy uniqueName="[Measures].[__XL_Count BUDGET]" caption="__XL_Count BUDGET" measure="1" displayFolder="" measureGroup="BUDGET" count="0" hidden="1"/>
    <cacheHierarchy uniqueName="[Measures].[__No measures defined]" caption="__No measures defined" measure="1" displayFolder="" count="0" hidden="1"/>
    <cacheHierarchy uniqueName="[Measures].[Sum of Total Cost CHF]" caption="Sum of Total Cost CHF" measure="1" displayFolder="" measureGroup="BUDGET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3">
    <dimension name="BUDGET" uniqueName="[BUDGET]" caption="BUDGET"/>
    <dimension measure="1" name="Measures" uniqueName="[Measures]" caption="Measures"/>
    <dimension name="OUTPUTS" uniqueName="[OUTPUTS]" caption="OUTPUTS"/>
  </dimensions>
  <measureGroups count="2">
    <measureGroup name="BUDGET" caption="BUDGET"/>
    <measureGroup name="OUTPUTS" caption="OUTPUTS"/>
  </measureGroups>
  <maps count="3">
    <map measureGroup="0" dimension="0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6E82A9-9C3B-4C07-8F4B-FF520FE828F7}" name="FEDBUDGET" cacheId="3" applyNumberFormats="0" applyBorderFormats="0" applyFontFormats="0" applyPatternFormats="0" applyAlignmentFormats="0" applyWidthHeightFormats="1" dataCaption="Values" grandTotalCaption="Grand Total WITHOUT INDIRECT COSTS" updatedVersion="8" minRefreshableVersion="3" subtotalHiddenItems="1" itemPrintTitles="1" createdVersion="7" indent="0" compact="0" compactData="0" multipleFieldFilters="0">
  <location ref="A6:I8" firstHeaderRow="1" firstDataRow="1" firstDataCol="8"/>
  <pivotFields count="9"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nit Price"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Account Code"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Activity Code"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0"/>
    <field x="1"/>
    <field x="2"/>
    <field x="3"/>
    <field x="4"/>
    <field x="5"/>
    <field x="6"/>
    <field x="7"/>
  </rowFields>
  <rowItems count="2">
    <i>
      <x/>
      <x/>
      <x/>
      <x/>
      <x/>
      <x/>
      <x/>
      <x/>
    </i>
    <i t="grand">
      <x/>
    </i>
  </rowItems>
  <colItems count="1">
    <i/>
  </colItems>
  <dataFields count="1">
    <dataField name="Total CHF" fld="8" baseField="7" baseItem="3" numFmtId="4"/>
  </dataFields>
  <formats count="64">
    <format dxfId="151">
      <pivotArea field="0" type="button" dataOnly="0" labelOnly="1" outline="0" axis="axisRow" fieldPosition="0"/>
    </format>
    <format dxfId="150">
      <pivotArea field="1" type="button" dataOnly="0" labelOnly="1" outline="0" axis="axisRow" fieldPosition="1"/>
    </format>
    <format dxfId="149">
      <pivotArea field="2" type="button" dataOnly="0" labelOnly="1" outline="0" axis="axisRow" fieldPosition="2"/>
    </format>
    <format dxfId="148">
      <pivotArea field="3" type="button" dataOnly="0" labelOnly="1" outline="0" axis="axisRow" fieldPosition="3"/>
    </format>
    <format dxfId="147">
      <pivotArea field="4" type="button" dataOnly="0" labelOnly="1" outline="0" axis="axisRow" fieldPosition="4"/>
    </format>
    <format dxfId="146">
      <pivotArea field="5" type="button" dataOnly="0" labelOnly="1" outline="0" axis="axisRow" fieldPosition="5"/>
    </format>
    <format dxfId="145">
      <pivotArea field="6" type="button" dataOnly="0" labelOnly="1" outline="0" axis="axisRow" fieldPosition="6"/>
    </format>
    <format dxfId="144">
      <pivotArea field="7" type="button" dataOnly="0" labelOnly="1" outline="0" axis="axisRow" fieldPosition="7"/>
    </format>
    <format dxfId="143">
      <pivotArea dataOnly="0" labelOnly="1" outline="0" axis="axisValues" fieldPosition="0"/>
    </format>
    <format dxfId="142">
      <pivotArea field="0" type="button" dataOnly="0" labelOnly="1" outline="0" axis="axisRow" fieldPosition="0"/>
    </format>
    <format dxfId="141">
      <pivotArea field="1" type="button" dataOnly="0" labelOnly="1" outline="0" axis="axisRow" fieldPosition="1"/>
    </format>
    <format dxfId="140">
      <pivotArea field="2" type="button" dataOnly="0" labelOnly="1" outline="0" axis="axisRow" fieldPosition="2"/>
    </format>
    <format dxfId="139">
      <pivotArea field="3" type="button" dataOnly="0" labelOnly="1" outline="0" axis="axisRow" fieldPosition="3"/>
    </format>
    <format dxfId="138">
      <pivotArea field="4" type="button" dataOnly="0" labelOnly="1" outline="0" axis="axisRow" fieldPosition="4"/>
    </format>
    <format dxfId="137">
      <pivotArea field="5" type="button" dataOnly="0" labelOnly="1" outline="0" axis="axisRow" fieldPosition="5"/>
    </format>
    <format dxfId="136">
      <pivotArea field="6" type="button" dataOnly="0" labelOnly="1" outline="0" axis="axisRow" fieldPosition="6"/>
    </format>
    <format dxfId="135">
      <pivotArea field="7" type="button" dataOnly="0" labelOnly="1" outline="0" axis="axisRow" fieldPosition="7"/>
    </format>
    <format dxfId="134">
      <pivotArea dataOnly="0" labelOnly="1" outline="0" axis="axisValues" fieldPosition="0"/>
    </format>
    <format dxfId="133">
      <pivotArea field="0" type="button" dataOnly="0" labelOnly="1" outline="0" axis="axisRow" fieldPosition="0"/>
    </format>
    <format dxfId="132">
      <pivotArea field="1" type="button" dataOnly="0" labelOnly="1" outline="0" axis="axisRow" fieldPosition="1"/>
    </format>
    <format dxfId="131">
      <pivotArea field="2" type="button" dataOnly="0" labelOnly="1" outline="0" axis="axisRow" fieldPosition="2"/>
    </format>
    <format dxfId="130">
      <pivotArea field="3" type="button" dataOnly="0" labelOnly="1" outline="0" axis="axisRow" fieldPosition="3"/>
    </format>
    <format dxfId="129">
      <pivotArea field="4" type="button" dataOnly="0" labelOnly="1" outline="0" axis="axisRow" fieldPosition="4"/>
    </format>
    <format dxfId="128">
      <pivotArea field="5" type="button" dataOnly="0" labelOnly="1" outline="0" axis="axisRow" fieldPosition="5"/>
    </format>
    <format dxfId="127">
      <pivotArea field="6" type="button" dataOnly="0" labelOnly="1" outline="0" axis="axisRow" fieldPosition="6"/>
    </format>
    <format dxfId="126">
      <pivotArea field="7" type="button" dataOnly="0" labelOnly="1" outline="0" axis="axisRow" fieldPosition="7"/>
    </format>
    <format dxfId="125">
      <pivotArea dataOnly="0" labelOnly="1" outline="0" axis="axisValues" fieldPosition="0"/>
    </format>
    <format dxfId="124">
      <pivotArea dataOnly="0" labelOnly="1" outline="0" axis="axisValues" fieldPosition="0"/>
    </format>
    <format dxfId="123">
      <pivotArea dataOnly="0" labelOnly="1" outline="0" axis="axisValues" fieldPosition="0"/>
    </format>
    <format dxfId="122">
      <pivotArea field="2" type="button" dataOnly="0" labelOnly="1" outline="0" axis="axisRow" fieldPosition="2"/>
    </format>
    <format dxfId="121">
      <pivotArea field="3" type="button" dataOnly="0" labelOnly="1" outline="0" axis="axisRow" fieldPosition="3"/>
    </format>
    <format dxfId="120">
      <pivotArea field="4" type="button" dataOnly="0" labelOnly="1" outline="0" axis="axisRow" fieldPosition="4"/>
    </format>
    <format dxfId="119">
      <pivotArea field="5" type="button" dataOnly="0" labelOnly="1" outline="0" axis="axisRow" fieldPosition="5"/>
    </format>
    <format dxfId="118">
      <pivotArea field="2" type="button" dataOnly="0" labelOnly="1" outline="0" axis="axisRow" fieldPosition="2"/>
    </format>
    <format dxfId="117">
      <pivotArea field="3" type="button" dataOnly="0" labelOnly="1" outline="0" axis="axisRow" fieldPosition="3"/>
    </format>
    <format dxfId="116">
      <pivotArea field="4" type="button" dataOnly="0" labelOnly="1" outline="0" axis="axisRow" fieldPosition="4"/>
    </format>
    <format dxfId="115">
      <pivotArea field="5" type="button" dataOnly="0" labelOnly="1" outline="0" axis="axisRow" fieldPosition="5"/>
    </format>
    <format dxfId="114">
      <pivotArea field="6" type="button" dataOnly="0" labelOnly="1" outline="0" axis="axisRow" fieldPosition="6"/>
    </format>
    <format dxfId="113">
      <pivotArea field="7" type="button" dataOnly="0" labelOnly="1" outline="0" axis="axisRow" fieldPosition="7"/>
    </format>
    <format dxfId="112">
      <pivotArea field="6" type="button" dataOnly="0" labelOnly="1" outline="0" axis="axisRow" fieldPosition="6"/>
    </format>
    <format dxfId="111">
      <pivotArea field="7" type="button" dataOnly="0" labelOnly="1" outline="0" axis="axisRow" fieldPosition="7"/>
    </format>
    <format dxfId="110">
      <pivotArea field="2" type="button" dataOnly="0" labelOnly="1" outline="0" axis="axisRow" fieldPosition="2"/>
    </format>
    <format dxfId="109">
      <pivotArea field="3" type="button" dataOnly="0" labelOnly="1" outline="0" axis="axisRow" fieldPosition="3"/>
    </format>
    <format dxfId="108">
      <pivotArea field="4" type="button" dataOnly="0" labelOnly="1" outline="0" axis="axisRow" fieldPosition="4"/>
    </format>
    <format dxfId="107">
      <pivotArea field="5" type="button" dataOnly="0" labelOnly="1" outline="0" axis="axisRow" fieldPosition="5"/>
    </format>
    <format dxfId="106">
      <pivotArea field="6" type="button" dataOnly="0" labelOnly="1" outline="0" axis="axisRow" fieldPosition="6"/>
    </format>
    <format dxfId="105">
      <pivotArea field="7" type="button" dataOnly="0" labelOnly="1" outline="0" axis="axisRow" fieldPosition="7"/>
    </format>
    <format dxfId="104">
      <pivotArea dataOnly="0" labelOnly="1" outline="0" axis="axisValues" fieldPosition="0"/>
    </format>
    <format dxfId="103">
      <pivotArea field="0" type="button" dataOnly="0" labelOnly="1" outline="0" axis="axisRow" fieldPosition="0"/>
    </format>
    <format dxfId="102">
      <pivotArea field="1" type="button" dataOnly="0" labelOnly="1" outline="0" axis="axisRow" fieldPosition="1"/>
    </format>
    <format dxfId="101">
      <pivotArea field="0" type="button" dataOnly="0" labelOnly="1" outline="0" axis="axisRow" fieldPosition="0"/>
    </format>
    <format dxfId="100">
      <pivotArea field="1" type="button" dataOnly="0" labelOnly="1" outline="0" axis="axisRow" fieldPosition="1"/>
    </format>
    <format dxfId="99">
      <pivotArea field="0" type="button" dataOnly="0" labelOnly="1" outline="0" axis="axisRow" fieldPosition="0"/>
    </format>
    <format dxfId="98">
      <pivotArea field="1" type="button" dataOnly="0" labelOnly="1" outline="0" axis="axisRow" fieldPosition="1"/>
    </format>
    <format dxfId="97">
      <pivotArea grandRow="1" outline="0" collapsedLevelsAreSubtotals="1" fieldPosition="0"/>
    </format>
    <format dxfId="96">
      <pivotArea dataOnly="0" labelOnly="1" grandRow="1" outline="0" fieldPosition="0"/>
    </format>
    <format dxfId="95">
      <pivotArea grandRow="1" outline="0" collapsedLevelsAreSubtotals="1" fieldPosition="0"/>
    </format>
    <format dxfId="94">
      <pivotArea dataOnly="0" labelOnly="1" grandRow="1" outline="0" fieldPosition="0"/>
    </format>
    <format dxfId="93">
      <pivotArea dataOnly="0" labelOnly="1" outline="0" fieldPosition="0">
        <references count="1">
          <reference field="3" count="0"/>
        </references>
      </pivotArea>
    </format>
    <format dxfId="92">
      <pivotArea dataOnly="0" labelOnly="1" outline="0" fieldPosition="0">
        <references count="1">
          <reference field="5" count="0"/>
        </references>
      </pivotArea>
    </format>
    <format dxfId="91">
      <pivotArea dataOnly="0" labelOnly="1" outline="0" fieldPosition="0">
        <references count="1">
          <reference field="5" count="0"/>
        </references>
      </pivotArea>
    </format>
    <format dxfId="90">
      <pivotArea dataOnly="0" labelOnly="1" outline="0" fieldPosition="0">
        <references count="1">
          <reference field="3" count="0"/>
        </references>
      </pivotArea>
    </format>
    <format dxfId="89">
      <pivotArea dataOnly="0" labelOnly="1" outline="0" fieldPosition="0">
        <references count="1">
          <reference field="3" count="0"/>
        </references>
      </pivotArea>
    </format>
    <format dxfId="88">
      <pivotArea dataOnly="0" labelOnly="1" outline="0" fieldPosition="0">
        <references count="1">
          <reference field="5" count="0"/>
        </references>
      </pivotArea>
    </format>
  </formats>
  <pivotHierarchies count="2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Total CHF"/>
  </pivotHierarchies>
  <pivotTableStyleInfo name="fedbudget" showRowHeaders="1" showColHeaders="1" showRowStripes="1" showColStripes="0" showLastColumn="1"/>
  <filters count="2">
    <filter fld="6" type="captionGreaterThan" evalOrder="-1" id="6" stringValue1="499">
      <autoFilter ref="A1">
        <filterColumn colId="0">
          <customFilters>
            <customFilter operator="greaterThan" val="499"/>
          </customFilters>
        </filterColumn>
      </autoFilter>
    </filter>
    <filter fld="7" type="captionBeginsWith" evalOrder="-1" id="5" stringValue1="AP">
      <autoFilter ref="A1">
        <filterColumn colId="0">
          <customFilters>
            <customFilter val="AP*"/>
          </customFilters>
        </filterColumn>
      </autoFilter>
    </filter>
  </filters>
  <rowHierarchiesUsage count="8">
    <rowHierarchyUsage hierarchyUsage="21"/>
    <rowHierarchyUsage hierarchyUsage="14"/>
    <rowHierarchyUsage hierarchyUsage="1"/>
    <rowHierarchyUsage hierarchyUsage="3"/>
    <rowHierarchyUsage hierarchyUsage="4"/>
    <rowHierarchyUsage hierarchyUsage="5"/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BUDGET]"/>
        <x15:activeTabTopLevelEntity name="[OUTPU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227965-4193-406C-95D5-2F62504F7BAA}" name="BUDGET" displayName="BUDGET" ref="A10:H217" totalsRowCount="1" headerRowDxfId="169" dataDxfId="168" totalsRowDxfId="167">
  <autoFilter ref="A10:H216" xr:uid="{75E9C119-0FF6-40E2-ABBC-437CA64C5889}"/>
  <tableColumns count="8">
    <tableColumn id="1" xr3:uid="{6C40C721-78E3-49F0-A108-27C2FAC6D45E}" name="Output_x000a_Code" dataDxfId="166" totalsRowDxfId="7"/>
    <tableColumn id="3" xr3:uid="{67FABC88-EB18-44DE-8599-995A6DEB56CF}" name="Description" totalsRowLabel="DIRECT COSTS total" dataDxfId="165" totalsRowDxfId="6"/>
    <tableColumn id="4" xr3:uid="{73E2E51B-C83C-40F5-A2C9-BA83DD580920}" name="Budget_x000a_Group" dataDxfId="164" totalsRowDxfId="5"/>
    <tableColumn id="5" xr3:uid="{4CFC8604-C9EE-4B92-A8B7-E822D5854CBA}" name="Quantity" dataDxfId="163" totalsRowDxfId="4"/>
    <tableColumn id="6" xr3:uid="{A0615E4D-9024-4041-9F08-AE0286CAF06E}" name="Unit" dataDxfId="162" totalsRowDxfId="3"/>
    <tableColumn id="7" xr3:uid="{1F7AAAB7-0EFB-4234-8AB8-4BED1B31C513}" name="Unit_x000a_Cost" dataDxfId="161" totalsRowDxfId="2"/>
    <tableColumn id="8" xr3:uid="{4E79502F-F28B-414A-9E97-D12DD08E8E17}" name="Total Cost LC" totalsRowFunction="custom" dataDxfId="160" totalsRowDxfId="1">
      <calculatedColumnFormula>+BUDGET[[#This Row],[Quantity]]*BUDGET[[#This Row],[Unit
Cost]]</calculatedColumnFormula>
      <totalsRowFormula>+G17+G24+G31+G50+G63+G82+G89+G102+G133+G140+G147+G190+G197+G216</totalsRowFormula>
    </tableColumn>
    <tableColumn id="9" xr3:uid="{9F9EE1CB-9B58-4191-A208-9AAD2F14A172}" name="Total Cost CHF" totalsRowFunction="custom" dataDxfId="159" totalsRowDxfId="0">
      <calculatedColumnFormula>ROUND(+BUDGET[[#This Row],[Total Cost LC]]*RATE,2)</calculatedColumnFormula>
      <totalsRowFormula>+H17+H24+H31+H50+H63+H82+H89+H102+H133+H140+H147+H190+H197+H216</totalsRowFormula>
    </tableColumn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761ADB-BBB2-468A-8E79-5B9656B39175}" name="BG_GROUPS" displayName="BG_GROUPS" ref="A3:C54" totalsRowShown="0" headerRowDxfId="158" dataDxfId="157">
  <autoFilter ref="A3:C54" xr:uid="{2535402B-0BC3-4410-B76B-48964011A0F0}"/>
  <tableColumns count="3">
    <tableColumn id="2" xr3:uid="{EFBF784D-92B4-4FB5-A695-EC2C4D78B6DF}" name="Budget Code" dataDxfId="156"/>
    <tableColumn id="3" xr3:uid="{6B0F576C-00F4-4B0E-8849-B09C778A16B7}" name="Budget Code Name" dataDxfId="155"/>
    <tableColumn id="4" xr3:uid="{26C1F47D-EE4C-4F7A-8FBE-812A36698D79}" name="Description" dataDxfId="154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682D89-8694-49BE-9062-9E04C75CAA97}" name="OUTPUTS" displayName="OUTPUTS" ref="A3:N36" totalsRowShown="0" headerRowDxfId="87" dataDxfId="86">
  <autoFilter ref="A3:N36" xr:uid="{F039196C-F22C-499E-978C-7544DA5F1AFE}"/>
  <sortState xmlns:xlrd2="http://schemas.microsoft.com/office/spreadsheetml/2017/richdata2" ref="A4:N36">
    <sortCondition descending="1" ref="I4:I36"/>
  </sortState>
  <tableColumns count="14">
    <tableColumn id="1" xr3:uid="{DC56CD85-DB01-4337-ADB0-F126CD4E6ED0}" name="Group" dataDxfId="85"/>
    <tableColumn id="2" xr3:uid="{9E991547-3E82-4382-8E92-CF5DD583A634}" name="Group Name" dataDxfId="84"/>
    <tableColumn id="3" xr3:uid="{2EB5691D-5274-46DC-B416-F706368E8F06}" name="SP&amp;E" dataDxfId="83"/>
    <tableColumn id="4" xr3:uid="{102D3C2C-5E1C-4196-ACAF-E96C70B3D01A}" name="SP&amp;E Name" dataDxfId="82"/>
    <tableColumn id="6" xr3:uid="{C71511D9-ADB2-4450-BDCE-5030BA9AC74B}" name="Outcome" dataDxfId="81"/>
    <tableColumn id="7" xr3:uid="{01B66981-15EF-40ED-8B85-22736279EDE2}" name="Outcome Name" dataDxfId="80"/>
    <tableColumn id="9" xr3:uid="{DB799619-C9AF-449D-B84D-2BA5B8B43C71}" name="Output" dataDxfId="79"/>
    <tableColumn id="10" xr3:uid="{A51051CF-BB56-477B-A116-ECD6F82DC7B6}" name="Output Name" dataDxfId="78"/>
    <tableColumn id="12" xr3:uid="{0DD70D99-986B-428C-9296-5D2F54AC5830}" name="OP Plan" dataDxfId="77"/>
    <tableColumn id="13" xr3:uid="{05B80C85-216E-420E-AA17-F8C5D3991EB5}" name="OP Plan Name" dataDxfId="76"/>
    <tableColumn id="17" xr3:uid="{5806DF6E-AD9D-4571-8AB4-D44EFD154BC9}" name="PLAN" dataDxfId="75"/>
    <tableColumn id="14" xr3:uid="{61DF6F53-1032-4BB7-AE5B-136276167BD1}" name="OP RM code" dataDxfId="74"/>
    <tableColumn id="15" xr3:uid="{72D1F477-687C-438C-9FA6-B938346CA9A2}" name="OP Plan Result Matrix" dataDxfId="73"/>
    <tableColumn id="16" xr3:uid="{6E97DDC9-10CB-4DDE-B37E-135DEE384C6E}" name="RESULT" dataDxfId="72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fednet.ifrc.org/en/support/finance1/systems-access/FedBudget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826AA-B259-4422-AFA3-6888801CFD45}">
  <sheetPr codeName="Sheet1">
    <tabColor rgb="FFF5333F"/>
    <pageSetUpPr fitToPage="1"/>
  </sheetPr>
  <dimension ref="A1:L219"/>
  <sheetViews>
    <sheetView showGridLines="0" zoomScaleNormal="100" workbookViewId="0">
      <selection activeCell="I12" sqref="I12"/>
    </sheetView>
  </sheetViews>
  <sheetFormatPr defaultColWidth="9.1328125" defaultRowHeight="13.5" outlineLevelRow="2" x14ac:dyDescent="0.5"/>
  <cols>
    <col min="1" max="1" width="10.3984375" style="22" customWidth="1"/>
    <col min="2" max="2" width="35.86328125" style="22" customWidth="1"/>
    <col min="3" max="3" width="9" style="22" customWidth="1"/>
    <col min="4" max="4" width="11.1328125" style="22" customWidth="1"/>
    <col min="5" max="5" width="15.1328125" style="22" customWidth="1"/>
    <col min="6" max="6" width="11.1328125" style="22" customWidth="1"/>
    <col min="7" max="8" width="18.73046875" style="22" customWidth="1"/>
    <col min="9" max="9" width="17.3984375" style="22" customWidth="1"/>
    <col min="10" max="16384" width="9.1328125" style="22"/>
  </cols>
  <sheetData>
    <row r="1" spans="1:12" ht="15" x14ac:dyDescent="0.55000000000000004">
      <c r="A1" s="15" t="s">
        <v>0</v>
      </c>
      <c r="H1" s="120" t="s">
        <v>1</v>
      </c>
    </row>
    <row r="2" spans="1:12" ht="27" x14ac:dyDescent="0.95">
      <c r="A2" s="30" t="s">
        <v>2</v>
      </c>
      <c r="H2" s="31" t="s">
        <v>3</v>
      </c>
    </row>
    <row r="3" spans="1:12" ht="8.25" customHeight="1" x14ac:dyDescent="0.9">
      <c r="A3" s="32"/>
    </row>
    <row r="4" spans="1:12" x14ac:dyDescent="0.5">
      <c r="A4" s="33" t="s">
        <v>4</v>
      </c>
      <c r="B4" s="33"/>
      <c r="C4" s="33"/>
      <c r="D4" s="33"/>
      <c r="E4" s="33"/>
      <c r="F4" s="33"/>
      <c r="G4" s="33" t="s">
        <v>5</v>
      </c>
      <c r="H4" s="33" t="s">
        <v>6</v>
      </c>
    </row>
    <row r="5" spans="1:12" ht="22.15" x14ac:dyDescent="0.5">
      <c r="A5" s="208" t="s">
        <v>7</v>
      </c>
      <c r="B5" s="208"/>
      <c r="C5" s="208"/>
      <c r="D5" s="208"/>
      <c r="E5" s="34"/>
      <c r="F5" s="34"/>
      <c r="G5" s="24" t="s">
        <v>8</v>
      </c>
      <c r="H5" s="25" t="s">
        <v>9</v>
      </c>
    </row>
    <row r="6" spans="1:12" ht="15.75" x14ac:dyDescent="0.5">
      <c r="A6" s="35"/>
      <c r="B6" s="35"/>
      <c r="C6" s="35"/>
      <c r="D6" s="35"/>
      <c r="E6" s="35"/>
      <c r="F6" s="35"/>
      <c r="G6" s="35"/>
      <c r="H6" s="35"/>
    </row>
    <row r="7" spans="1:12" x14ac:dyDescent="0.5">
      <c r="A7" s="33" t="s">
        <v>10</v>
      </c>
      <c r="B7" s="33"/>
      <c r="C7" s="33"/>
      <c r="D7" s="33"/>
      <c r="E7" s="33"/>
      <c r="F7" s="33"/>
      <c r="G7" s="33" t="s">
        <v>11</v>
      </c>
      <c r="H7" s="33" t="s">
        <v>12</v>
      </c>
    </row>
    <row r="8" spans="1:12" ht="22.15" x14ac:dyDescent="0.8">
      <c r="A8" s="208" t="s">
        <v>13</v>
      </c>
      <c r="B8" s="208"/>
      <c r="C8" s="208"/>
      <c r="D8" s="208"/>
      <c r="E8" s="36"/>
      <c r="F8" s="36"/>
      <c r="G8" s="24" t="s">
        <v>14</v>
      </c>
      <c r="H8" s="43">
        <v>1</v>
      </c>
    </row>
    <row r="10" spans="1:12" ht="27" x14ac:dyDescent="0.5">
      <c r="A10" s="37" t="s">
        <v>15</v>
      </c>
      <c r="B10" s="37" t="s">
        <v>16</v>
      </c>
      <c r="C10" s="37" t="s">
        <v>17</v>
      </c>
      <c r="D10" s="37" t="s">
        <v>18</v>
      </c>
      <c r="E10" s="37" t="s">
        <v>19</v>
      </c>
      <c r="F10" s="37" t="s">
        <v>20</v>
      </c>
      <c r="G10" s="37" t="s">
        <v>21</v>
      </c>
      <c r="H10" s="37" t="s">
        <v>22</v>
      </c>
      <c r="L10" s="4"/>
    </row>
    <row r="11" spans="1:12" s="44" customFormat="1" outlineLevel="2" x14ac:dyDescent="0.5">
      <c r="A11" s="23" t="s">
        <v>23</v>
      </c>
      <c r="B11" s="5"/>
      <c r="C11" s="5"/>
      <c r="D11" s="6"/>
      <c r="E11" s="5"/>
      <c r="F11" s="6"/>
      <c r="G11" s="6">
        <f>+BUDGET[[#This Row],[Quantity]]*BUDGET[[#This Row],[Unit
Cost]]</f>
        <v>0</v>
      </c>
      <c r="H11" s="6">
        <f>ROUND(+BUDGET[[#This Row],[Total Cost LC]]*RATE,2)</f>
        <v>0</v>
      </c>
    </row>
    <row r="12" spans="1:12" s="44" customFormat="1" outlineLevel="2" x14ac:dyDescent="0.5">
      <c r="A12" s="5" t="s">
        <v>23</v>
      </c>
      <c r="B12" s="5"/>
      <c r="C12" s="5"/>
      <c r="D12" s="6"/>
      <c r="E12" s="5"/>
      <c r="F12" s="6"/>
      <c r="G12" s="6">
        <f>+BUDGET[[#This Row],[Quantity]]*BUDGET[[#This Row],[Unit
Cost]]</f>
        <v>0</v>
      </c>
      <c r="H12" s="6">
        <f>ROUND(+BUDGET[[#This Row],[Total Cost LC]]*RATE,2)</f>
        <v>0</v>
      </c>
    </row>
    <row r="13" spans="1:12" s="44" customFormat="1" outlineLevel="2" x14ac:dyDescent="0.5">
      <c r="A13" s="5" t="s">
        <v>23</v>
      </c>
      <c r="B13" s="5"/>
      <c r="C13" s="5"/>
      <c r="D13" s="6"/>
      <c r="E13" s="5"/>
      <c r="F13" s="6"/>
      <c r="G13" s="6">
        <f>+BUDGET[[#This Row],[Quantity]]*BUDGET[[#This Row],[Unit
Cost]]</f>
        <v>0</v>
      </c>
      <c r="H13" s="6">
        <f>ROUND(+BUDGET[[#This Row],[Total Cost LC]]*RATE,2)</f>
        <v>0</v>
      </c>
    </row>
    <row r="14" spans="1:12" s="44" customFormat="1" outlineLevel="2" x14ac:dyDescent="0.5">
      <c r="A14" s="5" t="s">
        <v>23</v>
      </c>
      <c r="B14" s="5"/>
      <c r="C14" s="5"/>
      <c r="D14" s="6"/>
      <c r="E14" s="5"/>
      <c r="F14" s="6"/>
      <c r="G14" s="6">
        <f>+BUDGET[[#This Row],[Quantity]]*BUDGET[[#This Row],[Unit
Cost]]</f>
        <v>0</v>
      </c>
      <c r="H14" s="6">
        <f>ROUND(+BUDGET[[#This Row],[Total Cost LC]]*RATE,2)</f>
        <v>0</v>
      </c>
    </row>
    <row r="15" spans="1:12" s="44" customFormat="1" outlineLevel="2" x14ac:dyDescent="0.5">
      <c r="A15" s="5" t="s">
        <v>23</v>
      </c>
      <c r="B15" s="5"/>
      <c r="C15" s="5"/>
      <c r="D15" s="6"/>
      <c r="E15" s="5"/>
      <c r="F15" s="6"/>
      <c r="G15" s="6">
        <f>+BUDGET[[#This Row],[Quantity]]*BUDGET[[#This Row],[Unit
Cost]]</f>
        <v>0</v>
      </c>
      <c r="H15" s="6">
        <f>ROUND(+BUDGET[[#This Row],[Total Cost LC]]*RATE,2)</f>
        <v>0</v>
      </c>
    </row>
    <row r="16" spans="1:12" s="44" customFormat="1" outlineLevel="1" x14ac:dyDescent="0.5">
      <c r="A16" s="124" t="s">
        <v>24</v>
      </c>
      <c r="B16" s="124" t="s">
        <v>25</v>
      </c>
      <c r="C16" s="124"/>
      <c r="D16" s="130"/>
      <c r="E16" s="124"/>
      <c r="F16" s="125" t="s">
        <v>23</v>
      </c>
      <c r="G16" s="126">
        <f>SUMIFS(BUDGET[Total Cost LC],BUDGET[Output
Code],BUDGET[[#This Row],[Unit
Cost]])</f>
        <v>0</v>
      </c>
      <c r="H16" s="126">
        <f>ROUND(+BUDGET[[#This Row],[Total Cost LC]]*RATE,2)</f>
        <v>0</v>
      </c>
    </row>
    <row r="17" spans="1:8" s="44" customFormat="1" x14ac:dyDescent="0.5">
      <c r="A17" s="127" t="s">
        <v>26</v>
      </c>
      <c r="B17" s="127" t="s">
        <v>27</v>
      </c>
      <c r="C17" s="127"/>
      <c r="D17" s="128"/>
      <c r="E17" s="127"/>
      <c r="F17" s="131"/>
      <c r="G17" s="129">
        <f>+G16</f>
        <v>0</v>
      </c>
      <c r="H17" s="129">
        <f>ROUND(+BUDGET[[#This Row],[Total Cost LC]]*RATE,2)</f>
        <v>0</v>
      </c>
    </row>
    <row r="18" spans="1:8" s="44" customFormat="1" outlineLevel="2" x14ac:dyDescent="0.5">
      <c r="A18" s="23" t="s">
        <v>28</v>
      </c>
      <c r="B18" s="5"/>
      <c r="C18" s="5"/>
      <c r="D18" s="6"/>
      <c r="E18" s="5"/>
      <c r="F18" s="6"/>
      <c r="G18" s="6">
        <f>+BUDGET[[#This Row],[Quantity]]*BUDGET[[#This Row],[Unit
Cost]]</f>
        <v>0</v>
      </c>
      <c r="H18" s="6">
        <f>ROUND(+BUDGET[[#This Row],[Total Cost LC]]*RATE,2)</f>
        <v>0</v>
      </c>
    </row>
    <row r="19" spans="1:8" s="44" customFormat="1" outlineLevel="2" x14ac:dyDescent="0.5">
      <c r="A19" s="5" t="s">
        <v>28</v>
      </c>
      <c r="B19" s="5"/>
      <c r="C19" s="5"/>
      <c r="D19" s="6"/>
      <c r="E19" s="5"/>
      <c r="F19" s="6"/>
      <c r="G19" s="6">
        <f>+BUDGET[[#This Row],[Quantity]]*BUDGET[[#This Row],[Unit
Cost]]</f>
        <v>0</v>
      </c>
      <c r="H19" s="6">
        <f>ROUND(+BUDGET[[#This Row],[Total Cost LC]]*RATE,2)</f>
        <v>0</v>
      </c>
    </row>
    <row r="20" spans="1:8" s="44" customFormat="1" outlineLevel="2" x14ac:dyDescent="0.5">
      <c r="A20" s="5" t="s">
        <v>28</v>
      </c>
      <c r="B20" s="5"/>
      <c r="C20" s="5"/>
      <c r="D20" s="6"/>
      <c r="E20" s="5"/>
      <c r="F20" s="6"/>
      <c r="G20" s="6">
        <f>+BUDGET[[#This Row],[Quantity]]*BUDGET[[#This Row],[Unit
Cost]]</f>
        <v>0</v>
      </c>
      <c r="H20" s="6">
        <f>ROUND(+BUDGET[[#This Row],[Total Cost LC]]*RATE,2)</f>
        <v>0</v>
      </c>
    </row>
    <row r="21" spans="1:8" s="44" customFormat="1" outlineLevel="2" x14ac:dyDescent="0.5">
      <c r="A21" s="5" t="s">
        <v>28</v>
      </c>
      <c r="B21" s="5"/>
      <c r="C21" s="5"/>
      <c r="D21" s="6"/>
      <c r="E21" s="5"/>
      <c r="F21" s="6"/>
      <c r="G21" s="6">
        <f>+BUDGET[[#This Row],[Quantity]]*BUDGET[[#This Row],[Unit
Cost]]</f>
        <v>0</v>
      </c>
      <c r="H21" s="6">
        <f>ROUND(+BUDGET[[#This Row],[Total Cost LC]]*RATE,2)</f>
        <v>0</v>
      </c>
    </row>
    <row r="22" spans="1:8" s="44" customFormat="1" outlineLevel="2" x14ac:dyDescent="0.5">
      <c r="A22" s="5" t="s">
        <v>28</v>
      </c>
      <c r="B22" s="5"/>
      <c r="C22" s="5"/>
      <c r="D22" s="6"/>
      <c r="E22" s="5"/>
      <c r="F22" s="6"/>
      <c r="G22" s="6">
        <f>+BUDGET[[#This Row],[Quantity]]*BUDGET[[#This Row],[Unit
Cost]]</f>
        <v>0</v>
      </c>
      <c r="H22" s="6">
        <f>ROUND(+BUDGET[[#This Row],[Total Cost LC]]*RATE,2)</f>
        <v>0</v>
      </c>
    </row>
    <row r="23" spans="1:8" s="44" customFormat="1" outlineLevel="1" x14ac:dyDescent="0.5">
      <c r="A23" s="124" t="s">
        <v>29</v>
      </c>
      <c r="B23" s="124" t="s">
        <v>30</v>
      </c>
      <c r="C23" s="124"/>
      <c r="D23" s="130"/>
      <c r="E23" s="124"/>
      <c r="F23" s="125" t="s">
        <v>28</v>
      </c>
      <c r="G23" s="126">
        <f>SUMIFS(BUDGET[Total Cost LC],BUDGET[Output
Code],BUDGET[[#This Row],[Unit
Cost]])</f>
        <v>0</v>
      </c>
      <c r="H23" s="126">
        <f>ROUND(+BUDGET[[#This Row],[Total Cost LC]]*RATE,2)</f>
        <v>0</v>
      </c>
    </row>
    <row r="24" spans="1:8" s="44" customFormat="1" x14ac:dyDescent="0.5">
      <c r="A24" s="127" t="s">
        <v>31</v>
      </c>
      <c r="B24" s="127" t="s">
        <v>32</v>
      </c>
      <c r="C24" s="127"/>
      <c r="D24" s="128"/>
      <c r="E24" s="127"/>
      <c r="F24" s="131"/>
      <c r="G24" s="129">
        <f>+G23</f>
        <v>0</v>
      </c>
      <c r="H24" s="129">
        <f>ROUND(+BUDGET[[#This Row],[Total Cost LC]]*RATE,2)</f>
        <v>0</v>
      </c>
    </row>
    <row r="25" spans="1:8" s="44" customFormat="1" outlineLevel="2" x14ac:dyDescent="0.5">
      <c r="A25" s="23" t="s">
        <v>33</v>
      </c>
      <c r="B25" s="5"/>
      <c r="C25" s="5"/>
      <c r="D25" s="6"/>
      <c r="E25" s="5"/>
      <c r="F25" s="6"/>
      <c r="G25" s="6">
        <f>+BUDGET[[#This Row],[Quantity]]*BUDGET[[#This Row],[Unit
Cost]]</f>
        <v>0</v>
      </c>
      <c r="H25" s="6">
        <f>ROUND(+BUDGET[[#This Row],[Total Cost LC]]*RATE,2)</f>
        <v>0</v>
      </c>
    </row>
    <row r="26" spans="1:8" s="44" customFormat="1" outlineLevel="2" x14ac:dyDescent="0.5">
      <c r="A26" s="5" t="s">
        <v>33</v>
      </c>
      <c r="B26" s="5"/>
      <c r="C26" s="5"/>
      <c r="D26" s="6"/>
      <c r="E26" s="5"/>
      <c r="F26" s="6"/>
      <c r="G26" s="6">
        <f>+BUDGET[[#This Row],[Quantity]]*BUDGET[[#This Row],[Unit
Cost]]</f>
        <v>0</v>
      </c>
      <c r="H26" s="6">
        <f>ROUND(+BUDGET[[#This Row],[Total Cost LC]]*RATE,2)</f>
        <v>0</v>
      </c>
    </row>
    <row r="27" spans="1:8" s="44" customFormat="1" outlineLevel="2" x14ac:dyDescent="0.5">
      <c r="A27" s="5" t="s">
        <v>33</v>
      </c>
      <c r="B27" s="5" t="s">
        <v>34</v>
      </c>
      <c r="C27" s="5"/>
      <c r="D27" s="6"/>
      <c r="E27" s="5"/>
      <c r="F27" s="6"/>
      <c r="G27" s="6">
        <f>+BUDGET[[#This Row],[Quantity]]*BUDGET[[#This Row],[Unit
Cost]]</f>
        <v>0</v>
      </c>
      <c r="H27" s="6">
        <f>ROUND(+BUDGET[[#This Row],[Total Cost LC]]*RATE,2)</f>
        <v>0</v>
      </c>
    </row>
    <row r="28" spans="1:8" s="44" customFormat="1" outlineLevel="2" x14ac:dyDescent="0.5">
      <c r="A28" s="5" t="s">
        <v>33</v>
      </c>
      <c r="B28" s="5"/>
      <c r="C28" s="5"/>
      <c r="D28" s="6"/>
      <c r="E28" s="5"/>
      <c r="F28" s="6"/>
      <c r="G28" s="6">
        <f>+BUDGET[[#This Row],[Quantity]]*BUDGET[[#This Row],[Unit
Cost]]</f>
        <v>0</v>
      </c>
      <c r="H28" s="6">
        <f>ROUND(+BUDGET[[#This Row],[Total Cost LC]]*RATE,2)</f>
        <v>0</v>
      </c>
    </row>
    <row r="29" spans="1:8" s="44" customFormat="1" outlineLevel="2" x14ac:dyDescent="0.5">
      <c r="A29" s="5" t="s">
        <v>33</v>
      </c>
      <c r="B29" s="5"/>
      <c r="C29" s="5"/>
      <c r="D29" s="6"/>
      <c r="E29" s="5"/>
      <c r="F29" s="6"/>
      <c r="G29" s="6">
        <f>+BUDGET[[#This Row],[Quantity]]*BUDGET[[#This Row],[Unit
Cost]]</f>
        <v>0</v>
      </c>
      <c r="H29" s="6">
        <f>ROUND(+BUDGET[[#This Row],[Total Cost LC]]*RATE,2)</f>
        <v>0</v>
      </c>
    </row>
    <row r="30" spans="1:8" s="44" customFormat="1" outlineLevel="1" x14ac:dyDescent="0.5">
      <c r="A30" s="124" t="s">
        <v>35</v>
      </c>
      <c r="B30" s="124" t="s">
        <v>36</v>
      </c>
      <c r="C30" s="124"/>
      <c r="D30" s="130"/>
      <c r="E30" s="124"/>
      <c r="F30" s="125" t="s">
        <v>33</v>
      </c>
      <c r="G30" s="126">
        <f>SUMIFS(BUDGET[Total Cost LC],BUDGET[Output
Code],BUDGET[[#This Row],[Unit
Cost]])</f>
        <v>0</v>
      </c>
      <c r="H30" s="126">
        <f>ROUND(+BUDGET[[#This Row],[Total Cost LC]]*RATE,2)</f>
        <v>0</v>
      </c>
    </row>
    <row r="31" spans="1:8" s="44" customFormat="1" x14ac:dyDescent="0.5">
      <c r="A31" s="127" t="s">
        <v>37</v>
      </c>
      <c r="B31" s="127" t="s">
        <v>38</v>
      </c>
      <c r="C31" s="127"/>
      <c r="D31" s="128"/>
      <c r="E31" s="127"/>
      <c r="F31" s="131"/>
      <c r="G31" s="129">
        <f>+G30</f>
        <v>0</v>
      </c>
      <c r="H31" s="129">
        <f>ROUND(+BUDGET[[#This Row],[Total Cost LC]]*RATE,2)</f>
        <v>0</v>
      </c>
    </row>
    <row r="32" spans="1:8" s="44" customFormat="1" outlineLevel="2" x14ac:dyDescent="0.5">
      <c r="A32" s="23" t="s">
        <v>39</v>
      </c>
      <c r="B32" s="5"/>
      <c r="C32" s="5"/>
      <c r="D32" s="6"/>
      <c r="E32" s="5"/>
      <c r="F32" s="6"/>
      <c r="G32" s="6">
        <f>+BUDGET[[#This Row],[Quantity]]*BUDGET[[#This Row],[Unit
Cost]]</f>
        <v>0</v>
      </c>
      <c r="H32" s="6">
        <f>ROUND(+BUDGET[[#This Row],[Total Cost LC]]*RATE,2)</f>
        <v>0</v>
      </c>
    </row>
    <row r="33" spans="1:8" s="44" customFormat="1" outlineLevel="2" x14ac:dyDescent="0.5">
      <c r="A33" s="5" t="s">
        <v>39</v>
      </c>
      <c r="B33" s="5"/>
      <c r="C33" s="5"/>
      <c r="D33" s="6"/>
      <c r="E33" s="5"/>
      <c r="F33" s="6"/>
      <c r="G33" s="6">
        <f>+BUDGET[[#This Row],[Quantity]]*BUDGET[[#This Row],[Unit
Cost]]</f>
        <v>0</v>
      </c>
      <c r="H33" s="6">
        <f>ROUND(+BUDGET[[#This Row],[Total Cost LC]]*RATE,2)</f>
        <v>0</v>
      </c>
    </row>
    <row r="34" spans="1:8" s="44" customFormat="1" outlineLevel="2" x14ac:dyDescent="0.5">
      <c r="A34" s="5" t="s">
        <v>39</v>
      </c>
      <c r="B34" s="5"/>
      <c r="C34" s="5"/>
      <c r="D34" s="6"/>
      <c r="E34" s="5"/>
      <c r="F34" s="6"/>
      <c r="G34" s="6">
        <f>+BUDGET[[#This Row],[Quantity]]*BUDGET[[#This Row],[Unit
Cost]]</f>
        <v>0</v>
      </c>
      <c r="H34" s="6">
        <f>ROUND(+BUDGET[[#This Row],[Total Cost LC]]*RATE,2)</f>
        <v>0</v>
      </c>
    </row>
    <row r="35" spans="1:8" s="44" customFormat="1" outlineLevel="2" x14ac:dyDescent="0.5">
      <c r="A35" s="5" t="s">
        <v>39</v>
      </c>
      <c r="B35" s="5"/>
      <c r="C35" s="5"/>
      <c r="D35" s="6"/>
      <c r="E35" s="5"/>
      <c r="F35" s="6"/>
      <c r="G35" s="6">
        <f>+BUDGET[[#This Row],[Quantity]]*BUDGET[[#This Row],[Unit
Cost]]</f>
        <v>0</v>
      </c>
      <c r="H35" s="6">
        <f>ROUND(+BUDGET[[#This Row],[Total Cost LC]]*RATE,2)</f>
        <v>0</v>
      </c>
    </row>
    <row r="36" spans="1:8" s="44" customFormat="1" outlineLevel="2" x14ac:dyDescent="0.5">
      <c r="A36" s="5" t="s">
        <v>39</v>
      </c>
      <c r="B36" s="5"/>
      <c r="C36" s="5"/>
      <c r="D36" s="6"/>
      <c r="E36" s="5"/>
      <c r="F36" s="6"/>
      <c r="G36" s="6">
        <f>+BUDGET[[#This Row],[Quantity]]*BUDGET[[#This Row],[Unit
Cost]]</f>
        <v>0</v>
      </c>
      <c r="H36" s="6">
        <f>ROUND(+BUDGET[[#This Row],[Total Cost LC]]*RATE,2)</f>
        <v>0</v>
      </c>
    </row>
    <row r="37" spans="1:8" s="44" customFormat="1" outlineLevel="1" x14ac:dyDescent="0.5">
      <c r="A37" s="124" t="s">
        <v>40</v>
      </c>
      <c r="B37" s="124" t="s">
        <v>41</v>
      </c>
      <c r="C37" s="124"/>
      <c r="D37" s="130"/>
      <c r="E37" s="124"/>
      <c r="F37" s="125" t="s">
        <v>39</v>
      </c>
      <c r="G37" s="126">
        <f>SUMIFS(BUDGET[Total Cost LC],BUDGET[Output
Code],BUDGET[[#This Row],[Unit
Cost]])</f>
        <v>0</v>
      </c>
      <c r="H37" s="126">
        <f>ROUND(+BUDGET[[#This Row],[Total Cost LC]]*RATE,2)</f>
        <v>0</v>
      </c>
    </row>
    <row r="38" spans="1:8" s="44" customFormat="1" outlineLevel="2" x14ac:dyDescent="0.5">
      <c r="A38" s="23" t="s">
        <v>42</v>
      </c>
      <c r="B38" s="5"/>
      <c r="C38" s="5"/>
      <c r="D38" s="6"/>
      <c r="E38" s="5"/>
      <c r="F38" s="6"/>
      <c r="G38" s="6">
        <f>+BUDGET[[#This Row],[Quantity]]*BUDGET[[#This Row],[Unit
Cost]]</f>
        <v>0</v>
      </c>
      <c r="H38" s="6">
        <f>ROUND(+BUDGET[[#This Row],[Total Cost LC]]*RATE,2)</f>
        <v>0</v>
      </c>
    </row>
    <row r="39" spans="1:8" s="44" customFormat="1" outlineLevel="2" x14ac:dyDescent="0.5">
      <c r="A39" s="5" t="s">
        <v>42</v>
      </c>
      <c r="B39" s="5"/>
      <c r="C39" s="5"/>
      <c r="D39" s="6"/>
      <c r="E39" s="5"/>
      <c r="F39" s="6"/>
      <c r="G39" s="6">
        <f>+BUDGET[[#This Row],[Quantity]]*BUDGET[[#This Row],[Unit
Cost]]</f>
        <v>0</v>
      </c>
      <c r="H39" s="6">
        <f>ROUND(+BUDGET[[#This Row],[Total Cost LC]]*RATE,2)</f>
        <v>0</v>
      </c>
    </row>
    <row r="40" spans="1:8" s="44" customFormat="1" outlineLevel="2" x14ac:dyDescent="0.5">
      <c r="A40" s="5" t="s">
        <v>42</v>
      </c>
      <c r="B40" s="5"/>
      <c r="C40" s="5"/>
      <c r="D40" s="6"/>
      <c r="E40" s="5"/>
      <c r="F40" s="6"/>
      <c r="G40" s="6">
        <f>+BUDGET[[#This Row],[Quantity]]*BUDGET[[#This Row],[Unit
Cost]]</f>
        <v>0</v>
      </c>
      <c r="H40" s="6">
        <f>ROUND(+BUDGET[[#This Row],[Total Cost LC]]*RATE,2)</f>
        <v>0</v>
      </c>
    </row>
    <row r="41" spans="1:8" s="44" customFormat="1" outlineLevel="2" x14ac:dyDescent="0.5">
      <c r="A41" s="5" t="s">
        <v>42</v>
      </c>
      <c r="B41" s="5"/>
      <c r="C41" s="5"/>
      <c r="D41" s="6"/>
      <c r="E41" s="5"/>
      <c r="F41" s="6"/>
      <c r="G41" s="6">
        <f>+BUDGET[[#This Row],[Quantity]]*BUDGET[[#This Row],[Unit
Cost]]</f>
        <v>0</v>
      </c>
      <c r="H41" s="6">
        <f>ROUND(+BUDGET[[#This Row],[Total Cost LC]]*RATE,2)</f>
        <v>0</v>
      </c>
    </row>
    <row r="42" spans="1:8" s="44" customFormat="1" outlineLevel="2" x14ac:dyDescent="0.5">
      <c r="A42" s="5" t="s">
        <v>42</v>
      </c>
      <c r="B42" s="5"/>
      <c r="C42" s="5"/>
      <c r="D42" s="6"/>
      <c r="E42" s="5"/>
      <c r="F42" s="6"/>
      <c r="G42" s="6">
        <f>+BUDGET[[#This Row],[Quantity]]*BUDGET[[#This Row],[Unit
Cost]]</f>
        <v>0</v>
      </c>
      <c r="H42" s="6">
        <f>ROUND(+BUDGET[[#This Row],[Total Cost LC]]*RATE,2)</f>
        <v>0</v>
      </c>
    </row>
    <row r="43" spans="1:8" s="44" customFormat="1" outlineLevel="1" x14ac:dyDescent="0.5">
      <c r="A43" s="124" t="s">
        <v>43</v>
      </c>
      <c r="B43" s="124" t="s">
        <v>44</v>
      </c>
      <c r="C43" s="124"/>
      <c r="D43" s="130"/>
      <c r="E43" s="124"/>
      <c r="F43" s="125" t="s">
        <v>42</v>
      </c>
      <c r="G43" s="126">
        <f>SUMIFS(BUDGET[Total Cost LC],BUDGET[Output
Code],BUDGET[[#This Row],[Unit
Cost]])</f>
        <v>0</v>
      </c>
      <c r="H43" s="126">
        <f>ROUND(+BUDGET[[#This Row],[Total Cost LC]]*RATE,2)</f>
        <v>0</v>
      </c>
    </row>
    <row r="44" spans="1:8" s="44" customFormat="1" outlineLevel="2" x14ac:dyDescent="0.5">
      <c r="A44" s="23" t="s">
        <v>45</v>
      </c>
      <c r="B44" s="5"/>
      <c r="C44" s="5"/>
      <c r="D44" s="6"/>
      <c r="E44" s="5"/>
      <c r="F44" s="6"/>
      <c r="G44" s="6">
        <f>+BUDGET[[#This Row],[Quantity]]*BUDGET[[#This Row],[Unit
Cost]]</f>
        <v>0</v>
      </c>
      <c r="H44" s="6">
        <f>ROUND(+BUDGET[[#This Row],[Total Cost LC]]*RATE,2)</f>
        <v>0</v>
      </c>
    </row>
    <row r="45" spans="1:8" s="44" customFormat="1" outlineLevel="2" x14ac:dyDescent="0.5">
      <c r="A45" s="5" t="s">
        <v>45</v>
      </c>
      <c r="B45" s="5"/>
      <c r="C45" s="5"/>
      <c r="D45" s="6"/>
      <c r="E45" s="5"/>
      <c r="F45" s="6"/>
      <c r="G45" s="6">
        <f>+BUDGET[[#This Row],[Quantity]]*BUDGET[[#This Row],[Unit
Cost]]</f>
        <v>0</v>
      </c>
      <c r="H45" s="6">
        <f>ROUND(+BUDGET[[#This Row],[Total Cost LC]]*RATE,2)</f>
        <v>0</v>
      </c>
    </row>
    <row r="46" spans="1:8" s="44" customFormat="1" outlineLevel="2" x14ac:dyDescent="0.5">
      <c r="A46" s="5" t="s">
        <v>45</v>
      </c>
      <c r="B46" s="5"/>
      <c r="C46" s="5"/>
      <c r="D46" s="6"/>
      <c r="E46" s="5"/>
      <c r="F46" s="6"/>
      <c r="G46" s="6">
        <f>+BUDGET[[#This Row],[Quantity]]*BUDGET[[#This Row],[Unit
Cost]]</f>
        <v>0</v>
      </c>
      <c r="H46" s="6">
        <f>ROUND(+BUDGET[[#This Row],[Total Cost LC]]*RATE,2)</f>
        <v>0</v>
      </c>
    </row>
    <row r="47" spans="1:8" s="44" customFormat="1" outlineLevel="2" x14ac:dyDescent="0.5">
      <c r="A47" s="5" t="s">
        <v>45</v>
      </c>
      <c r="B47" s="5"/>
      <c r="C47" s="5"/>
      <c r="D47" s="6"/>
      <c r="E47" s="5"/>
      <c r="F47" s="6"/>
      <c r="G47" s="6">
        <f>+BUDGET[[#This Row],[Quantity]]*BUDGET[[#This Row],[Unit
Cost]]</f>
        <v>0</v>
      </c>
      <c r="H47" s="6">
        <f>ROUND(+BUDGET[[#This Row],[Total Cost LC]]*RATE,2)</f>
        <v>0</v>
      </c>
    </row>
    <row r="48" spans="1:8" s="44" customFormat="1" outlineLevel="2" x14ac:dyDescent="0.5">
      <c r="A48" s="5" t="s">
        <v>45</v>
      </c>
      <c r="B48" s="5"/>
      <c r="C48" s="5"/>
      <c r="D48" s="6"/>
      <c r="E48" s="5"/>
      <c r="F48" s="6"/>
      <c r="G48" s="6">
        <f>+BUDGET[[#This Row],[Quantity]]*BUDGET[[#This Row],[Unit
Cost]]</f>
        <v>0</v>
      </c>
      <c r="H48" s="6">
        <f>ROUND(+BUDGET[[#This Row],[Total Cost LC]]*RATE,2)</f>
        <v>0</v>
      </c>
    </row>
    <row r="49" spans="1:8" s="44" customFormat="1" outlineLevel="1" x14ac:dyDescent="0.5">
      <c r="A49" s="124" t="s">
        <v>46</v>
      </c>
      <c r="B49" s="124" t="s">
        <v>47</v>
      </c>
      <c r="C49" s="124"/>
      <c r="D49" s="130"/>
      <c r="E49" s="124"/>
      <c r="F49" s="125" t="s">
        <v>45</v>
      </c>
      <c r="G49" s="126">
        <f>SUMIFS(BUDGET[Total Cost LC],BUDGET[Output
Code],BUDGET[[#This Row],[Unit
Cost]])</f>
        <v>0</v>
      </c>
      <c r="H49" s="126">
        <f>ROUND(+BUDGET[[#This Row],[Total Cost LC]]*RATE,2)</f>
        <v>0</v>
      </c>
    </row>
    <row r="50" spans="1:8" s="44" customFormat="1" x14ac:dyDescent="0.5">
      <c r="A50" s="127" t="s">
        <v>48</v>
      </c>
      <c r="B50" s="127" t="s">
        <v>49</v>
      </c>
      <c r="C50" s="127"/>
      <c r="D50" s="128"/>
      <c r="E50" s="127"/>
      <c r="F50" s="131"/>
      <c r="G50" s="129">
        <f>+G37+G43+G49</f>
        <v>0</v>
      </c>
      <c r="H50" s="129">
        <f>ROUND(+BUDGET[[#This Row],[Total Cost LC]]*RATE,2)</f>
        <v>0</v>
      </c>
    </row>
    <row r="51" spans="1:8" s="44" customFormat="1" outlineLevel="2" x14ac:dyDescent="0.5">
      <c r="A51" s="23" t="s">
        <v>50</v>
      </c>
      <c r="B51" s="5"/>
      <c r="C51" s="5"/>
      <c r="D51" s="6"/>
      <c r="E51" s="5"/>
      <c r="F51" s="6"/>
      <c r="G51" s="6">
        <f>+BUDGET[[#This Row],[Quantity]]*BUDGET[[#This Row],[Unit
Cost]]</f>
        <v>0</v>
      </c>
      <c r="H51" s="6">
        <f>ROUND(+BUDGET[[#This Row],[Total Cost LC]]*RATE,2)</f>
        <v>0</v>
      </c>
    </row>
    <row r="52" spans="1:8" s="44" customFormat="1" outlineLevel="2" x14ac:dyDescent="0.5">
      <c r="A52" s="5" t="s">
        <v>50</v>
      </c>
      <c r="B52" s="5"/>
      <c r="C52" s="5"/>
      <c r="D52" s="6"/>
      <c r="E52" s="5"/>
      <c r="F52" s="6"/>
      <c r="G52" s="6">
        <f>+BUDGET[[#This Row],[Quantity]]*BUDGET[[#This Row],[Unit
Cost]]</f>
        <v>0</v>
      </c>
      <c r="H52" s="6">
        <f>ROUND(+BUDGET[[#This Row],[Total Cost LC]]*RATE,2)</f>
        <v>0</v>
      </c>
    </row>
    <row r="53" spans="1:8" s="44" customFormat="1" outlineLevel="2" x14ac:dyDescent="0.5">
      <c r="A53" s="5" t="s">
        <v>50</v>
      </c>
      <c r="B53" s="5"/>
      <c r="C53" s="5"/>
      <c r="D53" s="6"/>
      <c r="E53" s="5"/>
      <c r="F53" s="6"/>
      <c r="G53" s="6">
        <f>+BUDGET[[#This Row],[Quantity]]*BUDGET[[#This Row],[Unit
Cost]]</f>
        <v>0</v>
      </c>
      <c r="H53" s="6">
        <f>ROUND(+BUDGET[[#This Row],[Total Cost LC]]*RATE,2)</f>
        <v>0</v>
      </c>
    </row>
    <row r="54" spans="1:8" s="44" customFormat="1" outlineLevel="2" x14ac:dyDescent="0.5">
      <c r="A54" s="5" t="s">
        <v>50</v>
      </c>
      <c r="B54" s="5"/>
      <c r="C54" s="5"/>
      <c r="D54" s="6"/>
      <c r="E54" s="5"/>
      <c r="F54" s="6"/>
      <c r="G54" s="6">
        <f>+BUDGET[[#This Row],[Quantity]]*BUDGET[[#This Row],[Unit
Cost]]</f>
        <v>0</v>
      </c>
      <c r="H54" s="6">
        <f>ROUND(+BUDGET[[#This Row],[Total Cost LC]]*RATE,2)</f>
        <v>0</v>
      </c>
    </row>
    <row r="55" spans="1:8" s="44" customFormat="1" outlineLevel="2" x14ac:dyDescent="0.5">
      <c r="A55" s="5" t="s">
        <v>50</v>
      </c>
      <c r="B55" s="5"/>
      <c r="C55" s="5"/>
      <c r="D55" s="6"/>
      <c r="E55" s="5"/>
      <c r="F55" s="6"/>
      <c r="G55" s="6">
        <f>+BUDGET[[#This Row],[Quantity]]*BUDGET[[#This Row],[Unit
Cost]]</f>
        <v>0</v>
      </c>
      <c r="H55" s="6">
        <f>ROUND(+BUDGET[[#This Row],[Total Cost LC]]*RATE,2)</f>
        <v>0</v>
      </c>
    </row>
    <row r="56" spans="1:8" s="44" customFormat="1" outlineLevel="1" x14ac:dyDescent="0.5">
      <c r="A56" s="124" t="s">
        <v>51</v>
      </c>
      <c r="B56" s="124" t="s">
        <v>52</v>
      </c>
      <c r="C56" s="124"/>
      <c r="D56" s="130"/>
      <c r="E56" s="124"/>
      <c r="F56" s="125" t="s">
        <v>50</v>
      </c>
      <c r="G56" s="126">
        <f>SUMIFS(BUDGET[Total Cost LC],BUDGET[Output
Code],BUDGET[[#This Row],[Unit
Cost]])</f>
        <v>0</v>
      </c>
      <c r="H56" s="126">
        <f>ROUND(+BUDGET[[#This Row],[Total Cost LC]]*RATE,2)</f>
        <v>0</v>
      </c>
    </row>
    <row r="57" spans="1:8" s="44" customFormat="1" outlineLevel="2" x14ac:dyDescent="0.5">
      <c r="A57" s="23" t="s">
        <v>53</v>
      </c>
      <c r="B57" s="5"/>
      <c r="C57" s="5"/>
      <c r="D57" s="6"/>
      <c r="E57" s="5"/>
      <c r="F57" s="6"/>
      <c r="G57" s="6">
        <f>+BUDGET[[#This Row],[Quantity]]*BUDGET[[#This Row],[Unit
Cost]]</f>
        <v>0</v>
      </c>
      <c r="H57" s="6">
        <f>ROUND(+BUDGET[[#This Row],[Total Cost LC]]*RATE,2)</f>
        <v>0</v>
      </c>
    </row>
    <row r="58" spans="1:8" s="44" customFormat="1" outlineLevel="2" x14ac:dyDescent="0.5">
      <c r="A58" s="5" t="s">
        <v>53</v>
      </c>
      <c r="B58" s="5"/>
      <c r="C58" s="5"/>
      <c r="D58" s="6"/>
      <c r="E58" s="5"/>
      <c r="F58" s="6"/>
      <c r="G58" s="6">
        <f>+BUDGET[[#This Row],[Quantity]]*BUDGET[[#This Row],[Unit
Cost]]</f>
        <v>0</v>
      </c>
      <c r="H58" s="6">
        <f>ROUND(+BUDGET[[#This Row],[Total Cost LC]]*RATE,2)</f>
        <v>0</v>
      </c>
    </row>
    <row r="59" spans="1:8" s="44" customFormat="1" outlineLevel="2" x14ac:dyDescent="0.5">
      <c r="A59" s="5" t="s">
        <v>53</v>
      </c>
      <c r="B59" s="5"/>
      <c r="C59" s="5"/>
      <c r="D59" s="6"/>
      <c r="E59" s="5"/>
      <c r="F59" s="6"/>
      <c r="G59" s="6">
        <f>+BUDGET[[#This Row],[Quantity]]*BUDGET[[#This Row],[Unit
Cost]]</f>
        <v>0</v>
      </c>
      <c r="H59" s="6">
        <f>ROUND(+BUDGET[[#This Row],[Total Cost LC]]*RATE,2)</f>
        <v>0</v>
      </c>
    </row>
    <row r="60" spans="1:8" s="44" customFormat="1" outlineLevel="2" x14ac:dyDescent="0.5">
      <c r="A60" s="5" t="s">
        <v>53</v>
      </c>
      <c r="B60" s="5"/>
      <c r="C60" s="5"/>
      <c r="D60" s="6"/>
      <c r="E60" s="5"/>
      <c r="F60" s="6"/>
      <c r="G60" s="6">
        <f>+BUDGET[[#This Row],[Quantity]]*BUDGET[[#This Row],[Unit
Cost]]</f>
        <v>0</v>
      </c>
      <c r="H60" s="6">
        <f>ROUND(+BUDGET[[#This Row],[Total Cost LC]]*RATE,2)</f>
        <v>0</v>
      </c>
    </row>
    <row r="61" spans="1:8" s="44" customFormat="1" outlineLevel="2" x14ac:dyDescent="0.5">
      <c r="A61" s="5" t="s">
        <v>53</v>
      </c>
      <c r="B61" s="5"/>
      <c r="C61" s="5"/>
      <c r="D61" s="6"/>
      <c r="E61" s="5"/>
      <c r="F61" s="6"/>
      <c r="G61" s="6">
        <f>+BUDGET[[#This Row],[Quantity]]*BUDGET[[#This Row],[Unit
Cost]]</f>
        <v>0</v>
      </c>
      <c r="H61" s="6">
        <f>ROUND(+BUDGET[[#This Row],[Total Cost LC]]*RATE,2)</f>
        <v>0</v>
      </c>
    </row>
    <row r="62" spans="1:8" s="44" customFormat="1" outlineLevel="1" x14ac:dyDescent="0.5">
      <c r="A62" s="124" t="s">
        <v>54</v>
      </c>
      <c r="B62" s="124" t="s">
        <v>55</v>
      </c>
      <c r="C62" s="124"/>
      <c r="D62" s="130"/>
      <c r="E62" s="124"/>
      <c r="F62" s="125" t="s">
        <v>53</v>
      </c>
      <c r="G62" s="126">
        <f>SUMIFS(BUDGET[Total Cost LC],BUDGET[Output
Code],BUDGET[[#This Row],[Unit
Cost]])</f>
        <v>0</v>
      </c>
      <c r="H62" s="126">
        <f>ROUND(+BUDGET[[#This Row],[Total Cost LC]]*RATE,2)</f>
        <v>0</v>
      </c>
    </row>
    <row r="63" spans="1:8" s="44" customFormat="1" x14ac:dyDescent="0.5">
      <c r="A63" s="127" t="s">
        <v>56</v>
      </c>
      <c r="B63" s="127" t="s">
        <v>57</v>
      </c>
      <c r="C63" s="127"/>
      <c r="D63" s="128"/>
      <c r="E63" s="127"/>
      <c r="F63" s="131"/>
      <c r="G63" s="129">
        <f>+G56+G62</f>
        <v>0</v>
      </c>
      <c r="H63" s="129">
        <f>ROUND(+BUDGET[[#This Row],[Total Cost LC]]*RATE,2)</f>
        <v>0</v>
      </c>
    </row>
    <row r="64" spans="1:8" s="44" customFormat="1" outlineLevel="2" x14ac:dyDescent="0.5">
      <c r="A64" s="23" t="s">
        <v>58</v>
      </c>
      <c r="B64" s="5"/>
      <c r="C64" s="5"/>
      <c r="D64" s="6"/>
      <c r="E64" s="5"/>
      <c r="F64" s="6"/>
      <c r="G64" s="6">
        <f>+BUDGET[[#This Row],[Quantity]]*BUDGET[[#This Row],[Unit
Cost]]</f>
        <v>0</v>
      </c>
      <c r="H64" s="6">
        <f>ROUND(+BUDGET[[#This Row],[Total Cost LC]]*RATE,2)</f>
        <v>0</v>
      </c>
    </row>
    <row r="65" spans="1:8" s="44" customFormat="1" outlineLevel="2" x14ac:dyDescent="0.5">
      <c r="A65" s="5" t="s">
        <v>58</v>
      </c>
      <c r="B65" s="5"/>
      <c r="C65" s="5"/>
      <c r="D65" s="6"/>
      <c r="E65" s="5"/>
      <c r="F65" s="6"/>
      <c r="G65" s="6">
        <f>+BUDGET[[#This Row],[Quantity]]*BUDGET[[#This Row],[Unit
Cost]]</f>
        <v>0</v>
      </c>
      <c r="H65" s="6">
        <f>ROUND(+BUDGET[[#This Row],[Total Cost LC]]*RATE,2)</f>
        <v>0</v>
      </c>
    </row>
    <row r="66" spans="1:8" s="44" customFormat="1" outlineLevel="2" x14ac:dyDescent="0.5">
      <c r="A66" s="5" t="s">
        <v>58</v>
      </c>
      <c r="B66" s="5"/>
      <c r="C66" s="5"/>
      <c r="D66" s="6"/>
      <c r="E66" s="5"/>
      <c r="F66" s="6"/>
      <c r="G66" s="6">
        <f>+BUDGET[[#This Row],[Quantity]]*BUDGET[[#This Row],[Unit
Cost]]</f>
        <v>0</v>
      </c>
      <c r="H66" s="6">
        <f>ROUND(+BUDGET[[#This Row],[Total Cost LC]]*RATE,2)</f>
        <v>0</v>
      </c>
    </row>
    <row r="67" spans="1:8" s="44" customFormat="1" outlineLevel="2" x14ac:dyDescent="0.5">
      <c r="A67" s="5" t="s">
        <v>58</v>
      </c>
      <c r="B67" s="5"/>
      <c r="C67" s="5"/>
      <c r="D67" s="6"/>
      <c r="E67" s="5"/>
      <c r="F67" s="6"/>
      <c r="G67" s="6">
        <f>+BUDGET[[#This Row],[Quantity]]*BUDGET[[#This Row],[Unit
Cost]]</f>
        <v>0</v>
      </c>
      <c r="H67" s="6">
        <f>ROUND(+BUDGET[[#This Row],[Total Cost LC]]*RATE,2)</f>
        <v>0</v>
      </c>
    </row>
    <row r="68" spans="1:8" s="44" customFormat="1" outlineLevel="2" x14ac:dyDescent="0.5">
      <c r="A68" s="5" t="s">
        <v>58</v>
      </c>
      <c r="B68" s="5"/>
      <c r="C68" s="5"/>
      <c r="D68" s="6"/>
      <c r="E68" s="5"/>
      <c r="F68" s="6"/>
      <c r="G68" s="6">
        <f>+BUDGET[[#This Row],[Quantity]]*BUDGET[[#This Row],[Unit
Cost]]</f>
        <v>0</v>
      </c>
      <c r="H68" s="6">
        <f>ROUND(+BUDGET[[#This Row],[Total Cost LC]]*RATE,2)</f>
        <v>0</v>
      </c>
    </row>
    <row r="69" spans="1:8" s="44" customFormat="1" outlineLevel="1" x14ac:dyDescent="0.5">
      <c r="A69" s="124" t="s">
        <v>59</v>
      </c>
      <c r="B69" s="124" t="s">
        <v>60</v>
      </c>
      <c r="C69" s="124"/>
      <c r="D69" s="130"/>
      <c r="E69" s="124"/>
      <c r="F69" s="125" t="s">
        <v>58</v>
      </c>
      <c r="G69" s="126">
        <f>SUMIFS(BUDGET[Total Cost LC],BUDGET[Output
Code],BUDGET[[#This Row],[Unit
Cost]])</f>
        <v>0</v>
      </c>
      <c r="H69" s="126">
        <f>ROUND(+BUDGET[[#This Row],[Total Cost LC]]*RATE,2)</f>
        <v>0</v>
      </c>
    </row>
    <row r="70" spans="1:8" s="44" customFormat="1" outlineLevel="2" x14ac:dyDescent="0.5">
      <c r="A70" s="23" t="s">
        <v>61</v>
      </c>
      <c r="B70" s="5"/>
      <c r="C70" s="5"/>
      <c r="D70" s="6"/>
      <c r="E70" s="5"/>
      <c r="F70" s="6"/>
      <c r="G70" s="6">
        <f>+BUDGET[[#This Row],[Quantity]]*BUDGET[[#This Row],[Unit
Cost]]</f>
        <v>0</v>
      </c>
      <c r="H70" s="6">
        <f>ROUND(+BUDGET[[#This Row],[Total Cost LC]]*RATE,2)</f>
        <v>0</v>
      </c>
    </row>
    <row r="71" spans="1:8" s="44" customFormat="1" outlineLevel="2" x14ac:dyDescent="0.5">
      <c r="A71" s="5" t="s">
        <v>61</v>
      </c>
      <c r="B71" s="5"/>
      <c r="C71" s="5"/>
      <c r="D71" s="6"/>
      <c r="E71" s="5"/>
      <c r="F71" s="6"/>
      <c r="G71" s="6">
        <f>+BUDGET[[#This Row],[Quantity]]*BUDGET[[#This Row],[Unit
Cost]]</f>
        <v>0</v>
      </c>
      <c r="H71" s="6">
        <f>ROUND(+BUDGET[[#This Row],[Total Cost LC]]*RATE,2)</f>
        <v>0</v>
      </c>
    </row>
    <row r="72" spans="1:8" s="44" customFormat="1" outlineLevel="2" x14ac:dyDescent="0.5">
      <c r="A72" s="5" t="s">
        <v>61</v>
      </c>
      <c r="B72" s="5"/>
      <c r="C72" s="5"/>
      <c r="D72" s="6"/>
      <c r="E72" s="5"/>
      <c r="F72" s="6"/>
      <c r="G72" s="6">
        <f>+BUDGET[[#This Row],[Quantity]]*BUDGET[[#This Row],[Unit
Cost]]</f>
        <v>0</v>
      </c>
      <c r="H72" s="6">
        <f>ROUND(+BUDGET[[#This Row],[Total Cost LC]]*RATE,2)</f>
        <v>0</v>
      </c>
    </row>
    <row r="73" spans="1:8" s="44" customFormat="1" outlineLevel="2" x14ac:dyDescent="0.5">
      <c r="A73" s="5" t="s">
        <v>61</v>
      </c>
      <c r="B73" s="5"/>
      <c r="C73" s="5"/>
      <c r="D73" s="6"/>
      <c r="E73" s="5"/>
      <c r="F73" s="6"/>
      <c r="G73" s="6">
        <f>+BUDGET[[#This Row],[Quantity]]*BUDGET[[#This Row],[Unit
Cost]]</f>
        <v>0</v>
      </c>
      <c r="H73" s="6">
        <f>ROUND(+BUDGET[[#This Row],[Total Cost LC]]*RATE,2)</f>
        <v>0</v>
      </c>
    </row>
    <row r="74" spans="1:8" s="44" customFormat="1" outlineLevel="2" x14ac:dyDescent="0.5">
      <c r="A74" s="5" t="s">
        <v>61</v>
      </c>
      <c r="B74" s="5"/>
      <c r="C74" s="5"/>
      <c r="D74" s="6"/>
      <c r="E74" s="5"/>
      <c r="F74" s="6"/>
      <c r="G74" s="6">
        <f>+BUDGET[[#This Row],[Quantity]]*BUDGET[[#This Row],[Unit
Cost]]</f>
        <v>0</v>
      </c>
      <c r="H74" s="6">
        <f>ROUND(+BUDGET[[#This Row],[Total Cost LC]]*RATE,2)</f>
        <v>0</v>
      </c>
    </row>
    <row r="75" spans="1:8" s="44" customFormat="1" outlineLevel="1" x14ac:dyDescent="0.5">
      <c r="A75" s="124" t="s">
        <v>62</v>
      </c>
      <c r="B75" s="124" t="s">
        <v>63</v>
      </c>
      <c r="C75" s="124"/>
      <c r="D75" s="130"/>
      <c r="E75" s="124"/>
      <c r="F75" s="125" t="s">
        <v>61</v>
      </c>
      <c r="G75" s="126">
        <f>SUMIFS(BUDGET[Total Cost LC],BUDGET[Output
Code],BUDGET[[#This Row],[Unit
Cost]])</f>
        <v>0</v>
      </c>
      <c r="H75" s="126">
        <f>ROUND(+BUDGET[[#This Row],[Total Cost LC]]*RATE,2)</f>
        <v>0</v>
      </c>
    </row>
    <row r="76" spans="1:8" s="44" customFormat="1" outlineLevel="2" x14ac:dyDescent="0.5">
      <c r="A76" s="23" t="s">
        <v>64</v>
      </c>
      <c r="B76" s="5"/>
      <c r="C76" s="5"/>
      <c r="D76" s="6"/>
      <c r="E76" s="5"/>
      <c r="F76" s="6"/>
      <c r="G76" s="6">
        <f>+BUDGET[[#This Row],[Quantity]]*BUDGET[[#This Row],[Unit
Cost]]</f>
        <v>0</v>
      </c>
      <c r="H76" s="6">
        <f>ROUND(+BUDGET[[#This Row],[Total Cost LC]]*RATE,2)</f>
        <v>0</v>
      </c>
    </row>
    <row r="77" spans="1:8" s="44" customFormat="1" outlineLevel="2" x14ac:dyDescent="0.5">
      <c r="A77" s="5" t="s">
        <v>64</v>
      </c>
      <c r="B77" s="5"/>
      <c r="C77" s="5"/>
      <c r="D77" s="6"/>
      <c r="E77" s="5"/>
      <c r="F77" s="6"/>
      <c r="G77" s="6">
        <f>+BUDGET[[#This Row],[Quantity]]*BUDGET[[#This Row],[Unit
Cost]]</f>
        <v>0</v>
      </c>
      <c r="H77" s="6">
        <f>ROUND(+BUDGET[[#This Row],[Total Cost LC]]*RATE,2)</f>
        <v>0</v>
      </c>
    </row>
    <row r="78" spans="1:8" s="44" customFormat="1" outlineLevel="2" x14ac:dyDescent="0.5">
      <c r="A78" s="5" t="s">
        <v>64</v>
      </c>
      <c r="B78" s="5"/>
      <c r="C78" s="5"/>
      <c r="D78" s="6"/>
      <c r="E78" s="5"/>
      <c r="F78" s="6"/>
      <c r="G78" s="6">
        <f>+BUDGET[[#This Row],[Quantity]]*BUDGET[[#This Row],[Unit
Cost]]</f>
        <v>0</v>
      </c>
      <c r="H78" s="6">
        <f>ROUND(+BUDGET[[#This Row],[Total Cost LC]]*RATE,2)</f>
        <v>0</v>
      </c>
    </row>
    <row r="79" spans="1:8" s="44" customFormat="1" outlineLevel="2" x14ac:dyDescent="0.5">
      <c r="A79" s="5" t="s">
        <v>64</v>
      </c>
      <c r="B79" s="5"/>
      <c r="C79" s="5"/>
      <c r="D79" s="6"/>
      <c r="E79" s="5"/>
      <c r="F79" s="6"/>
      <c r="G79" s="6">
        <f>+BUDGET[[#This Row],[Quantity]]*BUDGET[[#This Row],[Unit
Cost]]</f>
        <v>0</v>
      </c>
      <c r="H79" s="6">
        <f>ROUND(+BUDGET[[#This Row],[Total Cost LC]]*RATE,2)</f>
        <v>0</v>
      </c>
    </row>
    <row r="80" spans="1:8" s="44" customFormat="1" outlineLevel="2" x14ac:dyDescent="0.5">
      <c r="A80" s="5" t="s">
        <v>64</v>
      </c>
      <c r="B80" s="5"/>
      <c r="C80" s="5"/>
      <c r="D80" s="6"/>
      <c r="E80" s="5"/>
      <c r="F80" s="6"/>
      <c r="G80" s="6">
        <f>+BUDGET[[#This Row],[Quantity]]*BUDGET[[#This Row],[Unit
Cost]]</f>
        <v>0</v>
      </c>
      <c r="H80" s="6">
        <f>ROUND(+BUDGET[[#This Row],[Total Cost LC]]*RATE,2)</f>
        <v>0</v>
      </c>
    </row>
    <row r="81" spans="1:8" s="44" customFormat="1" outlineLevel="1" x14ac:dyDescent="0.5">
      <c r="A81" s="124" t="s">
        <v>65</v>
      </c>
      <c r="B81" s="124" t="s">
        <v>66</v>
      </c>
      <c r="C81" s="124"/>
      <c r="D81" s="130"/>
      <c r="E81" s="124"/>
      <c r="F81" s="125" t="s">
        <v>64</v>
      </c>
      <c r="G81" s="126">
        <f>SUMIFS(BUDGET[Total Cost LC],BUDGET[Output
Code],BUDGET[[#This Row],[Unit
Cost]])</f>
        <v>0</v>
      </c>
      <c r="H81" s="126">
        <f>ROUND(+BUDGET[[#This Row],[Total Cost LC]]*RATE,2)</f>
        <v>0</v>
      </c>
    </row>
    <row r="82" spans="1:8" s="44" customFormat="1" x14ac:dyDescent="0.5">
      <c r="A82" s="127" t="s">
        <v>67</v>
      </c>
      <c r="B82" s="127" t="s">
        <v>68</v>
      </c>
      <c r="C82" s="127"/>
      <c r="D82" s="128"/>
      <c r="E82" s="127"/>
      <c r="F82" s="131"/>
      <c r="G82" s="129">
        <f>+G69+G75+G81</f>
        <v>0</v>
      </c>
      <c r="H82" s="129">
        <f>ROUND(+BUDGET[[#This Row],[Total Cost LC]]*RATE,2)</f>
        <v>0</v>
      </c>
    </row>
    <row r="83" spans="1:8" s="44" customFormat="1" outlineLevel="2" x14ac:dyDescent="0.5">
      <c r="A83" s="23" t="s">
        <v>69</v>
      </c>
      <c r="B83" s="5"/>
      <c r="C83" s="5"/>
      <c r="D83" s="6"/>
      <c r="E83" s="5"/>
      <c r="F83" s="6"/>
      <c r="G83" s="6">
        <f>+BUDGET[[#This Row],[Quantity]]*BUDGET[[#This Row],[Unit
Cost]]</f>
        <v>0</v>
      </c>
      <c r="H83" s="6">
        <f>ROUND(+BUDGET[[#This Row],[Total Cost LC]]*RATE,2)</f>
        <v>0</v>
      </c>
    </row>
    <row r="84" spans="1:8" s="44" customFormat="1" outlineLevel="2" x14ac:dyDescent="0.5">
      <c r="A84" s="5" t="s">
        <v>69</v>
      </c>
      <c r="B84" s="5"/>
      <c r="C84" s="5"/>
      <c r="D84" s="6"/>
      <c r="E84" s="5"/>
      <c r="F84" s="6"/>
      <c r="G84" s="6">
        <f>+BUDGET[[#This Row],[Quantity]]*BUDGET[[#This Row],[Unit
Cost]]</f>
        <v>0</v>
      </c>
      <c r="H84" s="6">
        <f>ROUND(+BUDGET[[#This Row],[Total Cost LC]]*RATE,2)</f>
        <v>0</v>
      </c>
    </row>
    <row r="85" spans="1:8" s="44" customFormat="1" outlineLevel="2" x14ac:dyDescent="0.5">
      <c r="A85" s="5" t="s">
        <v>69</v>
      </c>
      <c r="B85" s="5"/>
      <c r="C85" s="5"/>
      <c r="D85" s="6"/>
      <c r="E85" s="5"/>
      <c r="F85" s="6"/>
      <c r="G85" s="6">
        <f>+BUDGET[[#This Row],[Quantity]]*BUDGET[[#This Row],[Unit
Cost]]</f>
        <v>0</v>
      </c>
      <c r="H85" s="6">
        <f>ROUND(+BUDGET[[#This Row],[Total Cost LC]]*RATE,2)</f>
        <v>0</v>
      </c>
    </row>
    <row r="86" spans="1:8" s="44" customFormat="1" outlineLevel="2" x14ac:dyDescent="0.5">
      <c r="A86" s="5" t="s">
        <v>69</v>
      </c>
      <c r="B86" s="5"/>
      <c r="C86" s="5"/>
      <c r="D86" s="6"/>
      <c r="E86" s="5"/>
      <c r="F86" s="6"/>
      <c r="G86" s="6">
        <f>+BUDGET[[#This Row],[Quantity]]*BUDGET[[#This Row],[Unit
Cost]]</f>
        <v>0</v>
      </c>
      <c r="H86" s="6">
        <f>ROUND(+BUDGET[[#This Row],[Total Cost LC]]*RATE,2)</f>
        <v>0</v>
      </c>
    </row>
    <row r="87" spans="1:8" s="44" customFormat="1" outlineLevel="2" x14ac:dyDescent="0.5">
      <c r="A87" s="5" t="s">
        <v>69</v>
      </c>
      <c r="B87" s="5"/>
      <c r="C87" s="5"/>
      <c r="D87" s="6"/>
      <c r="E87" s="5"/>
      <c r="F87" s="6"/>
      <c r="G87" s="6">
        <f>+BUDGET[[#This Row],[Quantity]]*BUDGET[[#This Row],[Unit
Cost]]</f>
        <v>0</v>
      </c>
      <c r="H87" s="6">
        <f>ROUND(+BUDGET[[#This Row],[Total Cost LC]]*RATE,2)</f>
        <v>0</v>
      </c>
    </row>
    <row r="88" spans="1:8" s="44" customFormat="1" outlineLevel="1" x14ac:dyDescent="0.5">
      <c r="A88" s="124" t="s">
        <v>70</v>
      </c>
      <c r="B88" s="124" t="s">
        <v>71</v>
      </c>
      <c r="C88" s="124"/>
      <c r="D88" s="130"/>
      <c r="E88" s="124"/>
      <c r="F88" s="125" t="s">
        <v>69</v>
      </c>
      <c r="G88" s="126">
        <f>SUMIFS(BUDGET[Total Cost LC],BUDGET[Output
Code],BUDGET[[#This Row],[Unit
Cost]])</f>
        <v>0</v>
      </c>
      <c r="H88" s="126">
        <f>ROUND(+BUDGET[[#This Row],[Total Cost LC]]*RATE,2)</f>
        <v>0</v>
      </c>
    </row>
    <row r="89" spans="1:8" s="44" customFormat="1" x14ac:dyDescent="0.5">
      <c r="A89" s="127" t="s">
        <v>72</v>
      </c>
      <c r="B89" s="127" t="s">
        <v>73</v>
      </c>
      <c r="C89" s="127"/>
      <c r="D89" s="128"/>
      <c r="E89" s="127"/>
      <c r="F89" s="131"/>
      <c r="G89" s="129">
        <f>+G88</f>
        <v>0</v>
      </c>
      <c r="H89" s="129">
        <f>ROUND(+BUDGET[[#This Row],[Total Cost LC]]*RATE,2)</f>
        <v>0</v>
      </c>
    </row>
    <row r="90" spans="1:8" s="44" customFormat="1" outlineLevel="2" x14ac:dyDescent="0.5">
      <c r="A90" s="23" t="s">
        <v>74</v>
      </c>
      <c r="B90" s="5"/>
      <c r="C90" s="5"/>
      <c r="D90" s="6"/>
      <c r="E90" s="5"/>
      <c r="F90" s="6"/>
      <c r="G90" s="6">
        <f>+BUDGET[[#This Row],[Quantity]]*BUDGET[[#This Row],[Unit
Cost]]</f>
        <v>0</v>
      </c>
      <c r="H90" s="6">
        <f>ROUND(+BUDGET[[#This Row],[Total Cost LC]]*RATE,2)</f>
        <v>0</v>
      </c>
    </row>
    <row r="91" spans="1:8" s="44" customFormat="1" outlineLevel="2" x14ac:dyDescent="0.5">
      <c r="A91" s="5" t="s">
        <v>74</v>
      </c>
      <c r="B91" s="5"/>
      <c r="C91" s="5"/>
      <c r="D91" s="6"/>
      <c r="E91" s="5"/>
      <c r="F91" s="6"/>
      <c r="G91" s="6">
        <f>+BUDGET[[#This Row],[Quantity]]*BUDGET[[#This Row],[Unit
Cost]]</f>
        <v>0</v>
      </c>
      <c r="H91" s="6">
        <f>ROUND(+BUDGET[[#This Row],[Total Cost LC]]*RATE,2)</f>
        <v>0</v>
      </c>
    </row>
    <row r="92" spans="1:8" s="44" customFormat="1" outlineLevel="2" x14ac:dyDescent="0.5">
      <c r="A92" s="5" t="s">
        <v>74</v>
      </c>
      <c r="B92" s="5"/>
      <c r="C92" s="5"/>
      <c r="D92" s="6"/>
      <c r="E92" s="5"/>
      <c r="F92" s="6"/>
      <c r="G92" s="6">
        <f>+BUDGET[[#This Row],[Quantity]]*BUDGET[[#This Row],[Unit
Cost]]</f>
        <v>0</v>
      </c>
      <c r="H92" s="6">
        <f>ROUND(+BUDGET[[#This Row],[Total Cost LC]]*RATE,2)</f>
        <v>0</v>
      </c>
    </row>
    <row r="93" spans="1:8" s="44" customFormat="1" outlineLevel="2" x14ac:dyDescent="0.5">
      <c r="A93" s="5" t="s">
        <v>74</v>
      </c>
      <c r="B93" s="5"/>
      <c r="C93" s="5"/>
      <c r="D93" s="6"/>
      <c r="E93" s="5"/>
      <c r="F93" s="6"/>
      <c r="G93" s="6">
        <f>+BUDGET[[#This Row],[Quantity]]*BUDGET[[#This Row],[Unit
Cost]]</f>
        <v>0</v>
      </c>
      <c r="H93" s="6">
        <f>ROUND(+BUDGET[[#This Row],[Total Cost LC]]*RATE,2)</f>
        <v>0</v>
      </c>
    </row>
    <row r="94" spans="1:8" s="44" customFormat="1" outlineLevel="2" x14ac:dyDescent="0.5">
      <c r="A94" s="5" t="s">
        <v>74</v>
      </c>
      <c r="B94" s="5"/>
      <c r="C94" s="5"/>
      <c r="D94" s="6"/>
      <c r="E94" s="5"/>
      <c r="F94" s="6"/>
      <c r="G94" s="6">
        <f>+BUDGET[[#This Row],[Quantity]]*BUDGET[[#This Row],[Unit
Cost]]</f>
        <v>0</v>
      </c>
      <c r="H94" s="6">
        <f>ROUND(+BUDGET[[#This Row],[Total Cost LC]]*RATE,2)</f>
        <v>0</v>
      </c>
    </row>
    <row r="95" spans="1:8" s="44" customFormat="1" outlineLevel="1" x14ac:dyDescent="0.5">
      <c r="A95" s="124" t="s">
        <v>75</v>
      </c>
      <c r="B95" s="124" t="s">
        <v>76</v>
      </c>
      <c r="C95" s="124"/>
      <c r="D95" s="130"/>
      <c r="E95" s="124"/>
      <c r="F95" s="125" t="s">
        <v>74</v>
      </c>
      <c r="G95" s="126">
        <f>SUMIFS(BUDGET[Total Cost LC],BUDGET[Output
Code],BUDGET[[#This Row],[Unit
Cost]])</f>
        <v>0</v>
      </c>
      <c r="H95" s="126">
        <f>ROUND(+BUDGET[[#This Row],[Total Cost LC]]*RATE,2)</f>
        <v>0</v>
      </c>
    </row>
    <row r="96" spans="1:8" s="44" customFormat="1" outlineLevel="2" x14ac:dyDescent="0.5">
      <c r="A96" s="23" t="s">
        <v>77</v>
      </c>
      <c r="B96" s="5"/>
      <c r="C96" s="5"/>
      <c r="D96" s="6"/>
      <c r="E96" s="5"/>
      <c r="F96" s="6"/>
      <c r="G96" s="6">
        <f>+BUDGET[[#This Row],[Quantity]]*BUDGET[[#This Row],[Unit
Cost]]</f>
        <v>0</v>
      </c>
      <c r="H96" s="6">
        <f>ROUND(+BUDGET[[#This Row],[Total Cost LC]]*RATE,2)</f>
        <v>0</v>
      </c>
    </row>
    <row r="97" spans="1:8" s="44" customFormat="1" outlineLevel="2" x14ac:dyDescent="0.5">
      <c r="A97" s="5" t="s">
        <v>77</v>
      </c>
      <c r="B97" s="5"/>
      <c r="C97" s="5"/>
      <c r="D97" s="6"/>
      <c r="E97" s="5"/>
      <c r="F97" s="6"/>
      <c r="G97" s="6">
        <f>+BUDGET[[#This Row],[Quantity]]*BUDGET[[#This Row],[Unit
Cost]]</f>
        <v>0</v>
      </c>
      <c r="H97" s="6">
        <f>ROUND(+BUDGET[[#This Row],[Total Cost LC]]*RATE,2)</f>
        <v>0</v>
      </c>
    </row>
    <row r="98" spans="1:8" s="44" customFormat="1" outlineLevel="2" x14ac:dyDescent="0.5">
      <c r="A98" s="5" t="s">
        <v>77</v>
      </c>
      <c r="B98" s="5"/>
      <c r="C98" s="5"/>
      <c r="D98" s="6"/>
      <c r="E98" s="5"/>
      <c r="F98" s="6"/>
      <c r="G98" s="6">
        <f>+BUDGET[[#This Row],[Quantity]]*BUDGET[[#This Row],[Unit
Cost]]</f>
        <v>0</v>
      </c>
      <c r="H98" s="6">
        <f>ROUND(+BUDGET[[#This Row],[Total Cost LC]]*RATE,2)</f>
        <v>0</v>
      </c>
    </row>
    <row r="99" spans="1:8" s="44" customFormat="1" outlineLevel="2" x14ac:dyDescent="0.5">
      <c r="A99" s="5" t="s">
        <v>77</v>
      </c>
      <c r="B99" s="5"/>
      <c r="C99" s="5"/>
      <c r="D99" s="6"/>
      <c r="E99" s="5"/>
      <c r="F99" s="6"/>
      <c r="G99" s="6">
        <f>+BUDGET[[#This Row],[Quantity]]*BUDGET[[#This Row],[Unit
Cost]]</f>
        <v>0</v>
      </c>
      <c r="H99" s="6">
        <f>ROUND(+BUDGET[[#This Row],[Total Cost LC]]*RATE,2)</f>
        <v>0</v>
      </c>
    </row>
    <row r="100" spans="1:8" s="44" customFormat="1" outlineLevel="2" x14ac:dyDescent="0.5">
      <c r="A100" s="5" t="s">
        <v>77</v>
      </c>
      <c r="B100" s="5"/>
      <c r="C100" s="5"/>
      <c r="D100" s="6"/>
      <c r="E100" s="5"/>
      <c r="F100" s="6"/>
      <c r="G100" s="6">
        <f>+BUDGET[[#This Row],[Quantity]]*BUDGET[[#This Row],[Unit
Cost]]</f>
        <v>0</v>
      </c>
      <c r="H100" s="6">
        <f>ROUND(+BUDGET[[#This Row],[Total Cost LC]]*RATE,2)</f>
        <v>0</v>
      </c>
    </row>
    <row r="101" spans="1:8" s="44" customFormat="1" outlineLevel="1" x14ac:dyDescent="0.5">
      <c r="A101" s="124" t="s">
        <v>78</v>
      </c>
      <c r="B101" s="124" t="s">
        <v>79</v>
      </c>
      <c r="C101" s="124"/>
      <c r="D101" s="130"/>
      <c r="E101" s="124"/>
      <c r="F101" s="125" t="s">
        <v>77</v>
      </c>
      <c r="G101" s="126">
        <f>SUMIFS(BUDGET[Total Cost LC],BUDGET[Output
Code],BUDGET[[#This Row],[Unit
Cost]])</f>
        <v>0</v>
      </c>
      <c r="H101" s="126">
        <f>ROUND(+BUDGET[[#This Row],[Total Cost LC]]*RATE,2)</f>
        <v>0</v>
      </c>
    </row>
    <row r="102" spans="1:8" s="44" customFormat="1" x14ac:dyDescent="0.5">
      <c r="A102" s="127" t="s">
        <v>80</v>
      </c>
      <c r="B102" s="127" t="s">
        <v>81</v>
      </c>
      <c r="C102" s="127"/>
      <c r="D102" s="128"/>
      <c r="E102" s="127"/>
      <c r="F102" s="131"/>
      <c r="G102" s="129">
        <f>+G95+G101</f>
        <v>0</v>
      </c>
      <c r="H102" s="129">
        <f>ROUND(+BUDGET[[#This Row],[Total Cost LC]]*RATE,2)</f>
        <v>0</v>
      </c>
    </row>
    <row r="103" spans="1:8" s="44" customFormat="1" outlineLevel="2" x14ac:dyDescent="0.5">
      <c r="A103" s="23" t="s">
        <v>82</v>
      </c>
      <c r="B103" s="5"/>
      <c r="C103" s="5"/>
      <c r="D103" s="6"/>
      <c r="E103" s="5"/>
      <c r="F103" s="6"/>
      <c r="G103" s="6">
        <f>+BUDGET[[#This Row],[Quantity]]*BUDGET[[#This Row],[Unit
Cost]]</f>
        <v>0</v>
      </c>
      <c r="H103" s="6">
        <f>ROUND(+BUDGET[[#This Row],[Total Cost LC]]*RATE,2)</f>
        <v>0</v>
      </c>
    </row>
    <row r="104" spans="1:8" s="44" customFormat="1" outlineLevel="2" x14ac:dyDescent="0.5">
      <c r="A104" s="5" t="s">
        <v>82</v>
      </c>
      <c r="B104" s="5"/>
      <c r="C104" s="5"/>
      <c r="D104" s="6"/>
      <c r="E104" s="5"/>
      <c r="F104" s="6"/>
      <c r="G104" s="6">
        <f>+BUDGET[[#This Row],[Quantity]]*BUDGET[[#This Row],[Unit
Cost]]</f>
        <v>0</v>
      </c>
      <c r="H104" s="6">
        <f>ROUND(+BUDGET[[#This Row],[Total Cost LC]]*RATE,2)</f>
        <v>0</v>
      </c>
    </row>
    <row r="105" spans="1:8" s="44" customFormat="1" outlineLevel="2" x14ac:dyDescent="0.5">
      <c r="A105" s="5" t="s">
        <v>82</v>
      </c>
      <c r="B105" s="5"/>
      <c r="C105" s="5"/>
      <c r="D105" s="6"/>
      <c r="E105" s="5"/>
      <c r="F105" s="6"/>
      <c r="G105" s="6">
        <f>+BUDGET[[#This Row],[Quantity]]*BUDGET[[#This Row],[Unit
Cost]]</f>
        <v>0</v>
      </c>
      <c r="H105" s="6">
        <f>ROUND(+BUDGET[[#This Row],[Total Cost LC]]*RATE,2)</f>
        <v>0</v>
      </c>
    </row>
    <row r="106" spans="1:8" s="44" customFormat="1" outlineLevel="2" x14ac:dyDescent="0.5">
      <c r="A106" s="5" t="s">
        <v>82</v>
      </c>
      <c r="B106" s="5"/>
      <c r="C106" s="5"/>
      <c r="D106" s="6"/>
      <c r="E106" s="5"/>
      <c r="F106" s="6"/>
      <c r="G106" s="6">
        <f>+BUDGET[[#This Row],[Quantity]]*BUDGET[[#This Row],[Unit
Cost]]</f>
        <v>0</v>
      </c>
      <c r="H106" s="6">
        <f>ROUND(+BUDGET[[#This Row],[Total Cost LC]]*RATE,2)</f>
        <v>0</v>
      </c>
    </row>
    <row r="107" spans="1:8" s="44" customFormat="1" outlineLevel="2" x14ac:dyDescent="0.5">
      <c r="A107" s="5" t="s">
        <v>82</v>
      </c>
      <c r="B107" s="5"/>
      <c r="C107" s="5"/>
      <c r="D107" s="6"/>
      <c r="E107" s="5"/>
      <c r="F107" s="6"/>
      <c r="G107" s="6">
        <f>+BUDGET[[#This Row],[Quantity]]*BUDGET[[#This Row],[Unit
Cost]]</f>
        <v>0</v>
      </c>
      <c r="H107" s="6">
        <f>ROUND(+BUDGET[[#This Row],[Total Cost LC]]*RATE,2)</f>
        <v>0</v>
      </c>
    </row>
    <row r="108" spans="1:8" s="44" customFormat="1" outlineLevel="1" x14ac:dyDescent="0.5">
      <c r="A108" s="124" t="s">
        <v>83</v>
      </c>
      <c r="B108" s="124" t="s">
        <v>84</v>
      </c>
      <c r="C108" s="124"/>
      <c r="D108" s="130"/>
      <c r="E108" s="124"/>
      <c r="F108" s="125" t="s">
        <v>82</v>
      </c>
      <c r="G108" s="126">
        <f>SUMIFS(BUDGET[Total Cost LC],BUDGET[Output
Code],BUDGET[[#This Row],[Unit
Cost]])</f>
        <v>0</v>
      </c>
      <c r="H108" s="126">
        <f>ROUND(+BUDGET[[#This Row],[Total Cost LC]]*RATE,2)</f>
        <v>0</v>
      </c>
    </row>
    <row r="109" spans="1:8" s="44" customFormat="1" outlineLevel="2" x14ac:dyDescent="0.5">
      <c r="A109" s="23" t="s">
        <v>85</v>
      </c>
      <c r="B109" s="5"/>
      <c r="C109" s="5"/>
      <c r="D109" s="6"/>
      <c r="E109" s="5"/>
      <c r="F109" s="6"/>
      <c r="G109" s="6">
        <f>+BUDGET[[#This Row],[Quantity]]*BUDGET[[#This Row],[Unit
Cost]]</f>
        <v>0</v>
      </c>
      <c r="H109" s="6">
        <f>ROUND(+BUDGET[[#This Row],[Total Cost LC]]*RATE,2)</f>
        <v>0</v>
      </c>
    </row>
    <row r="110" spans="1:8" s="44" customFormat="1" outlineLevel="2" x14ac:dyDescent="0.5">
      <c r="A110" s="5" t="s">
        <v>85</v>
      </c>
      <c r="B110" s="5"/>
      <c r="C110" s="5"/>
      <c r="D110" s="6"/>
      <c r="E110" s="5"/>
      <c r="F110" s="6"/>
      <c r="G110" s="6">
        <f>+BUDGET[[#This Row],[Quantity]]*BUDGET[[#This Row],[Unit
Cost]]</f>
        <v>0</v>
      </c>
      <c r="H110" s="6">
        <f>ROUND(+BUDGET[[#This Row],[Total Cost LC]]*RATE,2)</f>
        <v>0</v>
      </c>
    </row>
    <row r="111" spans="1:8" s="44" customFormat="1" outlineLevel="2" x14ac:dyDescent="0.5">
      <c r="A111" s="5" t="s">
        <v>85</v>
      </c>
      <c r="B111" s="5"/>
      <c r="C111" s="5"/>
      <c r="D111" s="6"/>
      <c r="E111" s="5"/>
      <c r="F111" s="6"/>
      <c r="G111" s="6">
        <f>+BUDGET[[#This Row],[Quantity]]*BUDGET[[#This Row],[Unit
Cost]]</f>
        <v>0</v>
      </c>
      <c r="H111" s="6">
        <f>ROUND(+BUDGET[[#This Row],[Total Cost LC]]*RATE,2)</f>
        <v>0</v>
      </c>
    </row>
    <row r="112" spans="1:8" s="44" customFormat="1" outlineLevel="2" x14ac:dyDescent="0.5">
      <c r="A112" s="5" t="s">
        <v>85</v>
      </c>
      <c r="B112" s="5"/>
      <c r="C112" s="5"/>
      <c r="D112" s="6"/>
      <c r="E112" s="5"/>
      <c r="F112" s="6"/>
      <c r="G112" s="6">
        <f>+BUDGET[[#This Row],[Quantity]]*BUDGET[[#This Row],[Unit
Cost]]</f>
        <v>0</v>
      </c>
      <c r="H112" s="6">
        <f>ROUND(+BUDGET[[#This Row],[Total Cost LC]]*RATE,2)</f>
        <v>0</v>
      </c>
    </row>
    <row r="113" spans="1:8" s="44" customFormat="1" outlineLevel="2" x14ac:dyDescent="0.5">
      <c r="A113" s="5" t="s">
        <v>85</v>
      </c>
      <c r="B113" s="5"/>
      <c r="C113" s="5"/>
      <c r="D113" s="6"/>
      <c r="E113" s="5"/>
      <c r="F113" s="6"/>
      <c r="G113" s="6">
        <f>+BUDGET[[#This Row],[Quantity]]*BUDGET[[#This Row],[Unit
Cost]]</f>
        <v>0</v>
      </c>
      <c r="H113" s="6">
        <f>ROUND(+BUDGET[[#This Row],[Total Cost LC]]*RATE,2)</f>
        <v>0</v>
      </c>
    </row>
    <row r="114" spans="1:8" s="44" customFormat="1" outlineLevel="1" x14ac:dyDescent="0.5">
      <c r="A114" s="124" t="s">
        <v>86</v>
      </c>
      <c r="B114" s="124" t="s">
        <v>87</v>
      </c>
      <c r="C114" s="124"/>
      <c r="D114" s="130"/>
      <c r="E114" s="124"/>
      <c r="F114" s="125" t="s">
        <v>85</v>
      </c>
      <c r="G114" s="126">
        <f>SUMIFS(BUDGET[Total Cost LC],BUDGET[Output
Code],BUDGET[[#This Row],[Unit
Cost]])</f>
        <v>0</v>
      </c>
      <c r="H114" s="126">
        <f>ROUND(+BUDGET[[#This Row],[Total Cost LC]]*RATE,2)</f>
        <v>0</v>
      </c>
    </row>
    <row r="115" spans="1:8" s="44" customFormat="1" outlineLevel="2" x14ac:dyDescent="0.5">
      <c r="A115" s="23" t="s">
        <v>88</v>
      </c>
      <c r="B115" s="5"/>
      <c r="C115" s="5"/>
      <c r="D115" s="6"/>
      <c r="E115" s="5"/>
      <c r="F115" s="6"/>
      <c r="G115" s="6">
        <f>+BUDGET[[#This Row],[Quantity]]*BUDGET[[#This Row],[Unit
Cost]]</f>
        <v>0</v>
      </c>
      <c r="H115" s="6">
        <f>ROUND(+BUDGET[[#This Row],[Total Cost LC]]*RATE,2)</f>
        <v>0</v>
      </c>
    </row>
    <row r="116" spans="1:8" s="44" customFormat="1" outlineLevel="2" x14ac:dyDescent="0.5">
      <c r="A116" s="5" t="s">
        <v>88</v>
      </c>
      <c r="B116" s="5"/>
      <c r="C116" s="5"/>
      <c r="D116" s="6"/>
      <c r="E116" s="5"/>
      <c r="F116" s="6"/>
      <c r="G116" s="6">
        <f>+BUDGET[[#This Row],[Quantity]]*BUDGET[[#This Row],[Unit
Cost]]</f>
        <v>0</v>
      </c>
      <c r="H116" s="6">
        <f>ROUND(+BUDGET[[#This Row],[Total Cost LC]]*RATE,2)</f>
        <v>0</v>
      </c>
    </row>
    <row r="117" spans="1:8" s="44" customFormat="1" outlineLevel="2" x14ac:dyDescent="0.5">
      <c r="A117" s="5" t="s">
        <v>88</v>
      </c>
      <c r="B117" s="5"/>
      <c r="C117" s="5"/>
      <c r="D117" s="6"/>
      <c r="E117" s="5"/>
      <c r="F117" s="6"/>
      <c r="G117" s="6">
        <f>+BUDGET[[#This Row],[Quantity]]*BUDGET[[#This Row],[Unit
Cost]]</f>
        <v>0</v>
      </c>
      <c r="H117" s="6">
        <f>ROUND(+BUDGET[[#This Row],[Total Cost LC]]*RATE,2)</f>
        <v>0</v>
      </c>
    </row>
    <row r="118" spans="1:8" s="44" customFormat="1" outlineLevel="2" x14ac:dyDescent="0.5">
      <c r="A118" s="5" t="s">
        <v>88</v>
      </c>
      <c r="B118" s="5"/>
      <c r="C118" s="5"/>
      <c r="D118" s="6"/>
      <c r="E118" s="5"/>
      <c r="F118" s="6"/>
      <c r="G118" s="6">
        <f>+BUDGET[[#This Row],[Quantity]]*BUDGET[[#This Row],[Unit
Cost]]</f>
        <v>0</v>
      </c>
      <c r="H118" s="6">
        <f>ROUND(+BUDGET[[#This Row],[Total Cost LC]]*RATE,2)</f>
        <v>0</v>
      </c>
    </row>
    <row r="119" spans="1:8" s="44" customFormat="1" outlineLevel="2" x14ac:dyDescent="0.5">
      <c r="A119" s="5" t="s">
        <v>88</v>
      </c>
      <c r="B119" s="5"/>
      <c r="C119" s="5"/>
      <c r="D119" s="6"/>
      <c r="E119" s="5"/>
      <c r="F119" s="6"/>
      <c r="G119" s="6">
        <f>+BUDGET[[#This Row],[Quantity]]*BUDGET[[#This Row],[Unit
Cost]]</f>
        <v>0</v>
      </c>
      <c r="H119" s="6">
        <f>ROUND(+BUDGET[[#This Row],[Total Cost LC]]*RATE,2)</f>
        <v>0</v>
      </c>
    </row>
    <row r="120" spans="1:8" s="44" customFormat="1" outlineLevel="1" x14ac:dyDescent="0.5">
      <c r="A120" s="124" t="s">
        <v>89</v>
      </c>
      <c r="B120" s="124" t="s">
        <v>90</v>
      </c>
      <c r="C120" s="124"/>
      <c r="D120" s="130"/>
      <c r="E120" s="124"/>
      <c r="F120" s="125" t="s">
        <v>88</v>
      </c>
      <c r="G120" s="126">
        <f>SUMIFS(BUDGET[Total Cost LC],BUDGET[Output
Code],BUDGET[[#This Row],[Unit
Cost]])</f>
        <v>0</v>
      </c>
      <c r="H120" s="126">
        <f>ROUND(+BUDGET[[#This Row],[Total Cost LC]]*RATE,2)</f>
        <v>0</v>
      </c>
    </row>
    <row r="121" spans="1:8" s="44" customFormat="1" outlineLevel="2" x14ac:dyDescent="0.5">
      <c r="A121" s="23" t="s">
        <v>91</v>
      </c>
      <c r="B121" s="5"/>
      <c r="C121" s="5"/>
      <c r="D121" s="6"/>
      <c r="E121" s="5"/>
      <c r="F121" s="6"/>
      <c r="G121" s="6">
        <f>+BUDGET[[#This Row],[Quantity]]*BUDGET[[#This Row],[Unit
Cost]]</f>
        <v>0</v>
      </c>
      <c r="H121" s="6">
        <f>ROUND(+BUDGET[[#This Row],[Total Cost LC]]*RATE,2)</f>
        <v>0</v>
      </c>
    </row>
    <row r="122" spans="1:8" s="44" customFormat="1" outlineLevel="2" x14ac:dyDescent="0.5">
      <c r="A122" s="5" t="s">
        <v>91</v>
      </c>
      <c r="B122" s="5"/>
      <c r="C122" s="5"/>
      <c r="D122" s="6"/>
      <c r="E122" s="5"/>
      <c r="F122" s="6"/>
      <c r="G122" s="6">
        <f>+BUDGET[[#This Row],[Quantity]]*BUDGET[[#This Row],[Unit
Cost]]</f>
        <v>0</v>
      </c>
      <c r="H122" s="6">
        <f>ROUND(+BUDGET[[#This Row],[Total Cost LC]]*RATE,2)</f>
        <v>0</v>
      </c>
    </row>
    <row r="123" spans="1:8" s="44" customFormat="1" outlineLevel="2" x14ac:dyDescent="0.5">
      <c r="A123" s="5" t="s">
        <v>91</v>
      </c>
      <c r="B123" s="5"/>
      <c r="C123" s="5"/>
      <c r="D123" s="6"/>
      <c r="E123" s="5"/>
      <c r="F123" s="6"/>
      <c r="G123" s="6">
        <f>+BUDGET[[#This Row],[Quantity]]*BUDGET[[#This Row],[Unit
Cost]]</f>
        <v>0</v>
      </c>
      <c r="H123" s="6">
        <f>ROUND(+BUDGET[[#This Row],[Total Cost LC]]*RATE,2)</f>
        <v>0</v>
      </c>
    </row>
    <row r="124" spans="1:8" s="44" customFormat="1" outlineLevel="2" x14ac:dyDescent="0.5">
      <c r="A124" s="5" t="s">
        <v>91</v>
      </c>
      <c r="B124" s="5"/>
      <c r="C124" s="5"/>
      <c r="D124" s="6"/>
      <c r="E124" s="5"/>
      <c r="F124" s="6"/>
      <c r="G124" s="6">
        <f>+BUDGET[[#This Row],[Quantity]]*BUDGET[[#This Row],[Unit
Cost]]</f>
        <v>0</v>
      </c>
      <c r="H124" s="6">
        <f>ROUND(+BUDGET[[#This Row],[Total Cost LC]]*RATE,2)</f>
        <v>0</v>
      </c>
    </row>
    <row r="125" spans="1:8" s="44" customFormat="1" outlineLevel="2" x14ac:dyDescent="0.5">
      <c r="A125" s="5" t="s">
        <v>91</v>
      </c>
      <c r="B125" s="5"/>
      <c r="C125" s="5"/>
      <c r="D125" s="6"/>
      <c r="E125" s="5"/>
      <c r="F125" s="6"/>
      <c r="G125" s="6">
        <f>+BUDGET[[#This Row],[Quantity]]*BUDGET[[#This Row],[Unit
Cost]]</f>
        <v>0</v>
      </c>
      <c r="H125" s="6">
        <f>ROUND(+BUDGET[[#This Row],[Total Cost LC]]*RATE,2)</f>
        <v>0</v>
      </c>
    </row>
    <row r="126" spans="1:8" s="44" customFormat="1" outlineLevel="1" x14ac:dyDescent="0.5">
      <c r="A126" s="124" t="s">
        <v>92</v>
      </c>
      <c r="B126" s="124" t="s">
        <v>93</v>
      </c>
      <c r="C126" s="124"/>
      <c r="D126" s="130"/>
      <c r="E126" s="124"/>
      <c r="F126" s="125" t="s">
        <v>91</v>
      </c>
      <c r="G126" s="126">
        <f>SUMIFS(BUDGET[Total Cost LC],BUDGET[Output
Code],BUDGET[[#This Row],[Unit
Cost]])</f>
        <v>0</v>
      </c>
      <c r="H126" s="126">
        <f>ROUND(+BUDGET[[#This Row],[Total Cost LC]]*RATE,2)</f>
        <v>0</v>
      </c>
    </row>
    <row r="127" spans="1:8" s="44" customFormat="1" outlineLevel="2" x14ac:dyDescent="0.5">
      <c r="A127" s="23" t="s">
        <v>94</v>
      </c>
      <c r="B127" s="5"/>
      <c r="C127" s="5"/>
      <c r="D127" s="6"/>
      <c r="E127" s="5"/>
      <c r="F127" s="6"/>
      <c r="G127" s="6">
        <f>+BUDGET[[#This Row],[Quantity]]*BUDGET[[#This Row],[Unit
Cost]]</f>
        <v>0</v>
      </c>
      <c r="H127" s="6">
        <f>ROUND(+BUDGET[[#This Row],[Total Cost LC]]*RATE,2)</f>
        <v>0</v>
      </c>
    </row>
    <row r="128" spans="1:8" s="44" customFormat="1" outlineLevel="2" x14ac:dyDescent="0.5">
      <c r="A128" s="5" t="s">
        <v>94</v>
      </c>
      <c r="B128" s="5"/>
      <c r="C128" s="5"/>
      <c r="D128" s="6"/>
      <c r="E128" s="5"/>
      <c r="F128" s="6"/>
      <c r="G128" s="6">
        <f>+BUDGET[[#This Row],[Quantity]]*BUDGET[[#This Row],[Unit
Cost]]</f>
        <v>0</v>
      </c>
      <c r="H128" s="6">
        <f>ROUND(+BUDGET[[#This Row],[Total Cost LC]]*RATE,2)</f>
        <v>0</v>
      </c>
    </row>
    <row r="129" spans="1:8" s="44" customFormat="1" outlineLevel="2" x14ac:dyDescent="0.5">
      <c r="A129" s="5" t="s">
        <v>94</v>
      </c>
      <c r="B129" s="5"/>
      <c r="C129" s="5"/>
      <c r="D129" s="6"/>
      <c r="E129" s="5"/>
      <c r="F129" s="6"/>
      <c r="G129" s="6">
        <f>+BUDGET[[#This Row],[Quantity]]*BUDGET[[#This Row],[Unit
Cost]]</f>
        <v>0</v>
      </c>
      <c r="H129" s="6">
        <f>ROUND(+BUDGET[[#This Row],[Total Cost LC]]*RATE,2)</f>
        <v>0</v>
      </c>
    </row>
    <row r="130" spans="1:8" s="44" customFormat="1" outlineLevel="2" x14ac:dyDescent="0.5">
      <c r="A130" s="5" t="s">
        <v>94</v>
      </c>
      <c r="B130" s="5"/>
      <c r="C130" s="5"/>
      <c r="D130" s="6"/>
      <c r="E130" s="5"/>
      <c r="F130" s="6"/>
      <c r="G130" s="6">
        <f>+BUDGET[[#This Row],[Quantity]]*BUDGET[[#This Row],[Unit
Cost]]</f>
        <v>0</v>
      </c>
      <c r="H130" s="6">
        <f>ROUND(+BUDGET[[#This Row],[Total Cost LC]]*RATE,2)</f>
        <v>0</v>
      </c>
    </row>
    <row r="131" spans="1:8" s="44" customFormat="1" outlineLevel="2" x14ac:dyDescent="0.5">
      <c r="A131" s="5" t="s">
        <v>94</v>
      </c>
      <c r="B131" s="5"/>
      <c r="C131" s="5"/>
      <c r="D131" s="6"/>
      <c r="E131" s="5"/>
      <c r="F131" s="6"/>
      <c r="G131" s="6">
        <f>+BUDGET[[#This Row],[Quantity]]*BUDGET[[#This Row],[Unit
Cost]]</f>
        <v>0</v>
      </c>
      <c r="H131" s="6">
        <f>ROUND(+BUDGET[[#This Row],[Total Cost LC]]*RATE,2)</f>
        <v>0</v>
      </c>
    </row>
    <row r="132" spans="1:8" s="44" customFormat="1" outlineLevel="1" x14ac:dyDescent="0.5">
      <c r="A132" s="124" t="s">
        <v>95</v>
      </c>
      <c r="B132" s="124" t="s">
        <v>96</v>
      </c>
      <c r="C132" s="124"/>
      <c r="D132" s="130"/>
      <c r="E132" s="124"/>
      <c r="F132" s="125" t="s">
        <v>94</v>
      </c>
      <c r="G132" s="126">
        <f>SUMIFS(BUDGET[Total Cost LC],BUDGET[Output
Code],BUDGET[[#This Row],[Unit
Cost]])</f>
        <v>0</v>
      </c>
      <c r="H132" s="126">
        <f>ROUND(+BUDGET[[#This Row],[Total Cost LC]]*RATE,2)</f>
        <v>0</v>
      </c>
    </row>
    <row r="133" spans="1:8" s="44" customFormat="1" x14ac:dyDescent="0.5">
      <c r="A133" s="127" t="s">
        <v>97</v>
      </c>
      <c r="B133" s="127" t="s">
        <v>98</v>
      </c>
      <c r="C133" s="127"/>
      <c r="D133" s="128"/>
      <c r="E133" s="127"/>
      <c r="F133" s="131"/>
      <c r="G133" s="129">
        <f>+G108+G114+G120+G126+G132</f>
        <v>0</v>
      </c>
      <c r="H133" s="129">
        <f>ROUND(+BUDGET[[#This Row],[Total Cost LC]]*RATE,2)</f>
        <v>0</v>
      </c>
    </row>
    <row r="134" spans="1:8" s="44" customFormat="1" outlineLevel="2" x14ac:dyDescent="0.5">
      <c r="A134" s="23" t="s">
        <v>99</v>
      </c>
      <c r="B134" s="5"/>
      <c r="C134" s="5"/>
      <c r="D134" s="6"/>
      <c r="E134" s="5"/>
      <c r="F134" s="6"/>
      <c r="G134" s="6">
        <f>+BUDGET[[#This Row],[Quantity]]*BUDGET[[#This Row],[Unit
Cost]]</f>
        <v>0</v>
      </c>
      <c r="H134" s="6">
        <f>ROUND(+BUDGET[[#This Row],[Total Cost LC]]*RATE,2)</f>
        <v>0</v>
      </c>
    </row>
    <row r="135" spans="1:8" s="44" customFormat="1" outlineLevel="2" x14ac:dyDescent="0.5">
      <c r="A135" s="5" t="s">
        <v>99</v>
      </c>
      <c r="B135" s="5"/>
      <c r="C135" s="5"/>
      <c r="D135" s="6"/>
      <c r="E135" s="5"/>
      <c r="F135" s="6"/>
      <c r="G135" s="6">
        <f>+BUDGET[[#This Row],[Quantity]]*BUDGET[[#This Row],[Unit
Cost]]</f>
        <v>0</v>
      </c>
      <c r="H135" s="6">
        <f>ROUND(+BUDGET[[#This Row],[Total Cost LC]]*RATE,2)</f>
        <v>0</v>
      </c>
    </row>
    <row r="136" spans="1:8" s="44" customFormat="1" outlineLevel="2" x14ac:dyDescent="0.5">
      <c r="A136" s="5" t="s">
        <v>99</v>
      </c>
      <c r="B136" s="5"/>
      <c r="C136" s="5"/>
      <c r="D136" s="6"/>
      <c r="E136" s="5"/>
      <c r="F136" s="6"/>
      <c r="G136" s="6">
        <f>+BUDGET[[#This Row],[Quantity]]*BUDGET[[#This Row],[Unit
Cost]]</f>
        <v>0</v>
      </c>
      <c r="H136" s="6">
        <f>ROUND(+BUDGET[[#This Row],[Total Cost LC]]*RATE,2)</f>
        <v>0</v>
      </c>
    </row>
    <row r="137" spans="1:8" s="44" customFormat="1" outlineLevel="2" x14ac:dyDescent="0.5">
      <c r="A137" s="5" t="s">
        <v>99</v>
      </c>
      <c r="B137" s="5"/>
      <c r="C137" s="5"/>
      <c r="D137" s="6"/>
      <c r="E137" s="5"/>
      <c r="F137" s="6"/>
      <c r="G137" s="6">
        <f>+BUDGET[[#This Row],[Quantity]]*BUDGET[[#This Row],[Unit
Cost]]</f>
        <v>0</v>
      </c>
      <c r="H137" s="6">
        <f>ROUND(+BUDGET[[#This Row],[Total Cost LC]]*RATE,2)</f>
        <v>0</v>
      </c>
    </row>
    <row r="138" spans="1:8" s="44" customFormat="1" outlineLevel="2" x14ac:dyDescent="0.5">
      <c r="A138" s="5" t="s">
        <v>99</v>
      </c>
      <c r="B138" s="5"/>
      <c r="C138" s="5"/>
      <c r="D138" s="6"/>
      <c r="E138" s="5"/>
      <c r="F138" s="6"/>
      <c r="G138" s="6">
        <f>+BUDGET[[#This Row],[Quantity]]*BUDGET[[#This Row],[Unit
Cost]]</f>
        <v>0</v>
      </c>
      <c r="H138" s="6">
        <f>ROUND(+BUDGET[[#This Row],[Total Cost LC]]*RATE,2)</f>
        <v>0</v>
      </c>
    </row>
    <row r="139" spans="1:8" s="44" customFormat="1" outlineLevel="1" x14ac:dyDescent="0.5">
      <c r="A139" s="124" t="s">
        <v>100</v>
      </c>
      <c r="B139" s="124" t="s">
        <v>101</v>
      </c>
      <c r="C139" s="124"/>
      <c r="D139" s="130"/>
      <c r="E139" s="124"/>
      <c r="F139" s="125" t="s">
        <v>99</v>
      </c>
      <c r="G139" s="126">
        <f>SUMIFS(BUDGET[Total Cost LC],BUDGET[Output
Code],BUDGET[[#This Row],[Unit
Cost]])</f>
        <v>0</v>
      </c>
      <c r="H139" s="126">
        <f>ROUND(+BUDGET[[#This Row],[Total Cost LC]]*RATE,2)</f>
        <v>0</v>
      </c>
    </row>
    <row r="140" spans="1:8" s="44" customFormat="1" x14ac:dyDescent="0.5">
      <c r="A140" s="127" t="s">
        <v>102</v>
      </c>
      <c r="B140" s="127" t="s">
        <v>103</v>
      </c>
      <c r="C140" s="127"/>
      <c r="D140" s="128"/>
      <c r="E140" s="127"/>
      <c r="F140" s="131"/>
      <c r="G140" s="129">
        <f>+G139</f>
        <v>0</v>
      </c>
      <c r="H140" s="129">
        <f>ROUND(+BUDGET[[#This Row],[Total Cost LC]]*RATE,2)</f>
        <v>0</v>
      </c>
    </row>
    <row r="141" spans="1:8" s="44" customFormat="1" outlineLevel="2" x14ac:dyDescent="0.5">
      <c r="A141" s="23" t="s">
        <v>104</v>
      </c>
      <c r="B141" s="5"/>
      <c r="C141" s="5"/>
      <c r="D141" s="6"/>
      <c r="E141" s="5"/>
      <c r="F141" s="6"/>
      <c r="G141" s="6">
        <f>+BUDGET[[#This Row],[Quantity]]*BUDGET[[#This Row],[Unit
Cost]]</f>
        <v>0</v>
      </c>
      <c r="H141" s="6">
        <f>ROUND(+BUDGET[[#This Row],[Total Cost LC]]*RATE,2)</f>
        <v>0</v>
      </c>
    </row>
    <row r="142" spans="1:8" s="44" customFormat="1" outlineLevel="2" x14ac:dyDescent="0.5">
      <c r="A142" s="5" t="s">
        <v>104</v>
      </c>
      <c r="B142" s="5"/>
      <c r="C142" s="5"/>
      <c r="D142" s="6"/>
      <c r="E142" s="5"/>
      <c r="F142" s="6"/>
      <c r="G142" s="6">
        <f>+BUDGET[[#This Row],[Quantity]]*BUDGET[[#This Row],[Unit
Cost]]</f>
        <v>0</v>
      </c>
      <c r="H142" s="6">
        <f>ROUND(+BUDGET[[#This Row],[Total Cost LC]]*RATE,2)</f>
        <v>0</v>
      </c>
    </row>
    <row r="143" spans="1:8" s="44" customFormat="1" outlineLevel="2" x14ac:dyDescent="0.5">
      <c r="A143" s="5" t="s">
        <v>104</v>
      </c>
      <c r="B143" s="5"/>
      <c r="C143" s="5"/>
      <c r="D143" s="6"/>
      <c r="E143" s="5"/>
      <c r="F143" s="6"/>
      <c r="G143" s="6">
        <f>+BUDGET[[#This Row],[Quantity]]*BUDGET[[#This Row],[Unit
Cost]]</f>
        <v>0</v>
      </c>
      <c r="H143" s="6">
        <f>ROUND(+BUDGET[[#This Row],[Total Cost LC]]*RATE,2)</f>
        <v>0</v>
      </c>
    </row>
    <row r="144" spans="1:8" s="44" customFormat="1" outlineLevel="2" x14ac:dyDescent="0.5">
      <c r="A144" s="5" t="s">
        <v>104</v>
      </c>
      <c r="B144" s="5"/>
      <c r="C144" s="5"/>
      <c r="D144" s="6"/>
      <c r="E144" s="5"/>
      <c r="F144" s="6"/>
      <c r="G144" s="6">
        <f>+BUDGET[[#This Row],[Quantity]]*BUDGET[[#This Row],[Unit
Cost]]</f>
        <v>0</v>
      </c>
      <c r="H144" s="6">
        <f>ROUND(+BUDGET[[#This Row],[Total Cost LC]]*RATE,2)</f>
        <v>0</v>
      </c>
    </row>
    <row r="145" spans="1:8" s="44" customFormat="1" outlineLevel="2" x14ac:dyDescent="0.5">
      <c r="A145" s="5" t="s">
        <v>104</v>
      </c>
      <c r="B145" s="5"/>
      <c r="C145" s="5"/>
      <c r="D145" s="6"/>
      <c r="E145" s="5"/>
      <c r="F145" s="6"/>
      <c r="G145" s="6">
        <f>+BUDGET[[#This Row],[Quantity]]*BUDGET[[#This Row],[Unit
Cost]]</f>
        <v>0</v>
      </c>
      <c r="H145" s="6">
        <f>ROUND(+BUDGET[[#This Row],[Total Cost LC]]*RATE,2)</f>
        <v>0</v>
      </c>
    </row>
    <row r="146" spans="1:8" s="44" customFormat="1" outlineLevel="1" x14ac:dyDescent="0.5">
      <c r="A146" s="124" t="s">
        <v>105</v>
      </c>
      <c r="B146" s="124" t="s">
        <v>106</v>
      </c>
      <c r="C146" s="124"/>
      <c r="D146" s="130"/>
      <c r="E146" s="124"/>
      <c r="F146" s="125" t="s">
        <v>104</v>
      </c>
      <c r="G146" s="126">
        <f>SUMIFS(BUDGET[Total Cost LC],BUDGET[Output
Code],BUDGET[[#This Row],[Unit
Cost]])</f>
        <v>0</v>
      </c>
      <c r="H146" s="126">
        <f>ROUND(+BUDGET[[#This Row],[Total Cost LC]]*RATE,2)</f>
        <v>0</v>
      </c>
    </row>
    <row r="147" spans="1:8" s="44" customFormat="1" x14ac:dyDescent="0.5">
      <c r="A147" s="127" t="s">
        <v>107</v>
      </c>
      <c r="B147" s="127" t="s">
        <v>108</v>
      </c>
      <c r="C147" s="127"/>
      <c r="D147" s="128"/>
      <c r="E147" s="127"/>
      <c r="F147" s="131"/>
      <c r="G147" s="129">
        <f>+G146</f>
        <v>0</v>
      </c>
      <c r="H147" s="129">
        <f>ROUND(+BUDGET[[#This Row],[Total Cost LC]]*RATE,2)</f>
        <v>0</v>
      </c>
    </row>
    <row r="148" spans="1:8" s="44" customFormat="1" outlineLevel="2" x14ac:dyDescent="0.5">
      <c r="A148" s="23" t="s">
        <v>109</v>
      </c>
      <c r="B148" s="5"/>
      <c r="C148" s="5"/>
      <c r="D148" s="6"/>
      <c r="E148" s="5"/>
      <c r="F148" s="6"/>
      <c r="G148" s="6">
        <f>+BUDGET[[#This Row],[Quantity]]*BUDGET[[#This Row],[Unit
Cost]]</f>
        <v>0</v>
      </c>
      <c r="H148" s="6">
        <f>ROUND(+BUDGET[[#This Row],[Total Cost LC]]*RATE,2)</f>
        <v>0</v>
      </c>
    </row>
    <row r="149" spans="1:8" s="44" customFormat="1" outlineLevel="2" x14ac:dyDescent="0.5">
      <c r="A149" s="5" t="s">
        <v>109</v>
      </c>
      <c r="B149" s="5"/>
      <c r="C149" s="5"/>
      <c r="D149" s="6"/>
      <c r="E149" s="5"/>
      <c r="F149" s="6"/>
      <c r="G149" s="6">
        <f>+BUDGET[[#This Row],[Quantity]]*BUDGET[[#This Row],[Unit
Cost]]</f>
        <v>0</v>
      </c>
      <c r="H149" s="6">
        <f>ROUND(+BUDGET[[#This Row],[Total Cost LC]]*RATE,2)</f>
        <v>0</v>
      </c>
    </row>
    <row r="150" spans="1:8" s="44" customFormat="1" outlineLevel="2" x14ac:dyDescent="0.5">
      <c r="A150" s="5" t="s">
        <v>109</v>
      </c>
      <c r="B150" s="5"/>
      <c r="C150" s="5"/>
      <c r="D150" s="6"/>
      <c r="E150" s="5"/>
      <c r="F150" s="6"/>
      <c r="G150" s="6">
        <f>+BUDGET[[#This Row],[Quantity]]*BUDGET[[#This Row],[Unit
Cost]]</f>
        <v>0</v>
      </c>
      <c r="H150" s="6">
        <f>ROUND(+BUDGET[[#This Row],[Total Cost LC]]*RATE,2)</f>
        <v>0</v>
      </c>
    </row>
    <row r="151" spans="1:8" s="44" customFormat="1" outlineLevel="2" x14ac:dyDescent="0.5">
      <c r="A151" s="5" t="s">
        <v>109</v>
      </c>
      <c r="B151" s="5"/>
      <c r="C151" s="5"/>
      <c r="D151" s="6"/>
      <c r="E151" s="5"/>
      <c r="F151" s="6"/>
      <c r="G151" s="6">
        <f>+BUDGET[[#This Row],[Quantity]]*BUDGET[[#This Row],[Unit
Cost]]</f>
        <v>0</v>
      </c>
      <c r="H151" s="6">
        <f>ROUND(+BUDGET[[#This Row],[Total Cost LC]]*RATE,2)</f>
        <v>0</v>
      </c>
    </row>
    <row r="152" spans="1:8" s="44" customFormat="1" outlineLevel="2" x14ac:dyDescent="0.5">
      <c r="A152" s="5" t="s">
        <v>109</v>
      </c>
      <c r="B152" s="5"/>
      <c r="C152" s="5"/>
      <c r="D152" s="6"/>
      <c r="E152" s="5"/>
      <c r="F152" s="6"/>
      <c r="G152" s="6">
        <f>+BUDGET[[#This Row],[Quantity]]*BUDGET[[#This Row],[Unit
Cost]]</f>
        <v>0</v>
      </c>
      <c r="H152" s="6">
        <f>ROUND(+BUDGET[[#This Row],[Total Cost LC]]*RATE,2)</f>
        <v>0</v>
      </c>
    </row>
    <row r="153" spans="1:8" s="44" customFormat="1" outlineLevel="1" x14ac:dyDescent="0.5">
      <c r="A153" s="124" t="s">
        <v>110</v>
      </c>
      <c r="B153" s="124" t="s">
        <v>111</v>
      </c>
      <c r="C153" s="124"/>
      <c r="D153" s="130"/>
      <c r="E153" s="124"/>
      <c r="F153" s="125" t="s">
        <v>109</v>
      </c>
      <c r="G153" s="126">
        <f>SUMIFS(BUDGET[Total Cost LC],BUDGET[Output
Code],BUDGET[[#This Row],[Unit
Cost]])</f>
        <v>0</v>
      </c>
      <c r="H153" s="126">
        <f>ROUND(+BUDGET[[#This Row],[Total Cost LC]]*RATE,2)</f>
        <v>0</v>
      </c>
    </row>
    <row r="154" spans="1:8" s="44" customFormat="1" outlineLevel="2" x14ac:dyDescent="0.5">
      <c r="A154" s="23" t="s">
        <v>112</v>
      </c>
      <c r="B154" s="5"/>
      <c r="C154" s="5"/>
      <c r="D154" s="6"/>
      <c r="E154" s="5"/>
      <c r="F154" s="6"/>
      <c r="G154" s="6">
        <f>+BUDGET[[#This Row],[Quantity]]*BUDGET[[#This Row],[Unit
Cost]]</f>
        <v>0</v>
      </c>
      <c r="H154" s="6">
        <f>ROUND(+BUDGET[[#This Row],[Total Cost LC]]*RATE,2)</f>
        <v>0</v>
      </c>
    </row>
    <row r="155" spans="1:8" s="44" customFormat="1" outlineLevel="2" x14ac:dyDescent="0.5">
      <c r="A155" s="5" t="s">
        <v>112</v>
      </c>
      <c r="B155" s="5"/>
      <c r="C155" s="5"/>
      <c r="D155" s="6"/>
      <c r="E155" s="5"/>
      <c r="F155" s="6"/>
      <c r="G155" s="6">
        <f>+BUDGET[[#This Row],[Quantity]]*BUDGET[[#This Row],[Unit
Cost]]</f>
        <v>0</v>
      </c>
      <c r="H155" s="6">
        <f>ROUND(+BUDGET[[#This Row],[Total Cost LC]]*RATE,2)</f>
        <v>0</v>
      </c>
    </row>
    <row r="156" spans="1:8" s="44" customFormat="1" outlineLevel="2" x14ac:dyDescent="0.5">
      <c r="A156" s="5" t="s">
        <v>112</v>
      </c>
      <c r="B156" s="5"/>
      <c r="C156" s="5"/>
      <c r="D156" s="6"/>
      <c r="E156" s="5"/>
      <c r="F156" s="6"/>
      <c r="G156" s="6">
        <f>+BUDGET[[#This Row],[Quantity]]*BUDGET[[#This Row],[Unit
Cost]]</f>
        <v>0</v>
      </c>
      <c r="H156" s="6">
        <f>ROUND(+BUDGET[[#This Row],[Total Cost LC]]*RATE,2)</f>
        <v>0</v>
      </c>
    </row>
    <row r="157" spans="1:8" s="44" customFormat="1" outlineLevel="2" x14ac:dyDescent="0.5">
      <c r="A157" s="5" t="s">
        <v>112</v>
      </c>
      <c r="B157" s="5"/>
      <c r="C157" s="5"/>
      <c r="D157" s="6"/>
      <c r="E157" s="5"/>
      <c r="F157" s="6"/>
      <c r="G157" s="6">
        <f>+BUDGET[[#This Row],[Quantity]]*BUDGET[[#This Row],[Unit
Cost]]</f>
        <v>0</v>
      </c>
      <c r="H157" s="6">
        <f>ROUND(+BUDGET[[#This Row],[Total Cost LC]]*RATE,2)</f>
        <v>0</v>
      </c>
    </row>
    <row r="158" spans="1:8" s="44" customFormat="1" outlineLevel="2" x14ac:dyDescent="0.5">
      <c r="A158" s="5" t="s">
        <v>112</v>
      </c>
      <c r="B158" s="5"/>
      <c r="C158" s="5"/>
      <c r="D158" s="6"/>
      <c r="E158" s="5"/>
      <c r="F158" s="6"/>
      <c r="G158" s="6">
        <f>+BUDGET[[#This Row],[Quantity]]*BUDGET[[#This Row],[Unit
Cost]]</f>
        <v>0</v>
      </c>
      <c r="H158" s="6">
        <f>ROUND(+BUDGET[[#This Row],[Total Cost LC]]*RATE,2)</f>
        <v>0</v>
      </c>
    </row>
    <row r="159" spans="1:8" s="44" customFormat="1" outlineLevel="1" x14ac:dyDescent="0.5">
      <c r="A159" s="124" t="s">
        <v>113</v>
      </c>
      <c r="B159" s="124" t="s">
        <v>114</v>
      </c>
      <c r="C159" s="124"/>
      <c r="D159" s="130"/>
      <c r="E159" s="124"/>
      <c r="F159" s="125" t="s">
        <v>112</v>
      </c>
      <c r="G159" s="126">
        <f>SUMIFS(BUDGET[Total Cost LC],BUDGET[Output
Code],BUDGET[[#This Row],[Unit
Cost]])</f>
        <v>0</v>
      </c>
      <c r="H159" s="126">
        <f>ROUND(+BUDGET[[#This Row],[Total Cost LC]]*RATE,2)</f>
        <v>0</v>
      </c>
    </row>
    <row r="160" spans="1:8" s="44" customFormat="1" outlineLevel="2" x14ac:dyDescent="0.5">
      <c r="A160" s="23" t="s">
        <v>115</v>
      </c>
      <c r="B160" s="5"/>
      <c r="C160" s="5"/>
      <c r="D160" s="6"/>
      <c r="E160" s="5"/>
      <c r="F160" s="6"/>
      <c r="G160" s="6">
        <f>+BUDGET[[#This Row],[Quantity]]*BUDGET[[#This Row],[Unit
Cost]]</f>
        <v>0</v>
      </c>
      <c r="H160" s="6">
        <f>ROUND(+BUDGET[[#This Row],[Total Cost LC]]*RATE,2)</f>
        <v>0</v>
      </c>
    </row>
    <row r="161" spans="1:8" s="44" customFormat="1" outlineLevel="2" x14ac:dyDescent="0.5">
      <c r="A161" s="5" t="s">
        <v>115</v>
      </c>
      <c r="B161" s="5"/>
      <c r="C161" s="5"/>
      <c r="D161" s="6"/>
      <c r="E161" s="5"/>
      <c r="F161" s="6"/>
      <c r="G161" s="6">
        <f>+BUDGET[[#This Row],[Quantity]]*BUDGET[[#This Row],[Unit
Cost]]</f>
        <v>0</v>
      </c>
      <c r="H161" s="6">
        <f>ROUND(+BUDGET[[#This Row],[Total Cost LC]]*RATE,2)</f>
        <v>0</v>
      </c>
    </row>
    <row r="162" spans="1:8" s="44" customFormat="1" outlineLevel="2" x14ac:dyDescent="0.5">
      <c r="A162" s="5" t="s">
        <v>115</v>
      </c>
      <c r="B162" s="5"/>
      <c r="C162" s="5"/>
      <c r="D162" s="6"/>
      <c r="E162" s="5"/>
      <c r="F162" s="6"/>
      <c r="G162" s="6">
        <f>+BUDGET[[#This Row],[Quantity]]*BUDGET[[#This Row],[Unit
Cost]]</f>
        <v>0</v>
      </c>
      <c r="H162" s="6">
        <f>ROUND(+BUDGET[[#This Row],[Total Cost LC]]*RATE,2)</f>
        <v>0</v>
      </c>
    </row>
    <row r="163" spans="1:8" s="44" customFormat="1" outlineLevel="2" x14ac:dyDescent="0.5">
      <c r="A163" s="5" t="s">
        <v>115</v>
      </c>
      <c r="B163" s="5"/>
      <c r="C163" s="5"/>
      <c r="D163" s="6"/>
      <c r="E163" s="5"/>
      <c r="F163" s="6"/>
      <c r="G163" s="6">
        <f>+BUDGET[[#This Row],[Quantity]]*BUDGET[[#This Row],[Unit
Cost]]</f>
        <v>0</v>
      </c>
      <c r="H163" s="6">
        <f>ROUND(+BUDGET[[#This Row],[Total Cost LC]]*RATE,2)</f>
        <v>0</v>
      </c>
    </row>
    <row r="164" spans="1:8" s="44" customFormat="1" outlineLevel="2" x14ac:dyDescent="0.5">
      <c r="A164" s="5" t="s">
        <v>115</v>
      </c>
      <c r="B164" s="5"/>
      <c r="C164" s="5"/>
      <c r="D164" s="6"/>
      <c r="E164" s="5"/>
      <c r="F164" s="6"/>
      <c r="G164" s="6">
        <f>+BUDGET[[#This Row],[Quantity]]*BUDGET[[#This Row],[Unit
Cost]]</f>
        <v>0</v>
      </c>
      <c r="H164" s="6">
        <f>ROUND(+BUDGET[[#This Row],[Total Cost LC]]*RATE,2)</f>
        <v>0</v>
      </c>
    </row>
    <row r="165" spans="1:8" s="44" customFormat="1" outlineLevel="1" x14ac:dyDescent="0.5">
      <c r="A165" s="124" t="s">
        <v>116</v>
      </c>
      <c r="B165" s="124" t="s">
        <v>117</v>
      </c>
      <c r="C165" s="124"/>
      <c r="D165" s="130"/>
      <c r="E165" s="124"/>
      <c r="F165" s="125" t="s">
        <v>115</v>
      </c>
      <c r="G165" s="126">
        <f>SUMIFS(BUDGET[Total Cost LC],BUDGET[Output
Code],BUDGET[[#This Row],[Unit
Cost]])</f>
        <v>0</v>
      </c>
      <c r="H165" s="126">
        <f>ROUND(+BUDGET[[#This Row],[Total Cost LC]]*RATE,2)</f>
        <v>0</v>
      </c>
    </row>
    <row r="166" spans="1:8" s="44" customFormat="1" outlineLevel="2" x14ac:dyDescent="0.5">
      <c r="A166" s="23" t="s">
        <v>118</v>
      </c>
      <c r="B166" s="5"/>
      <c r="C166" s="5"/>
      <c r="D166" s="6"/>
      <c r="E166" s="5"/>
      <c r="F166" s="6"/>
      <c r="G166" s="6">
        <f>+BUDGET[[#This Row],[Quantity]]*BUDGET[[#This Row],[Unit
Cost]]</f>
        <v>0</v>
      </c>
      <c r="H166" s="6">
        <f>ROUND(+BUDGET[[#This Row],[Total Cost LC]]*RATE,2)</f>
        <v>0</v>
      </c>
    </row>
    <row r="167" spans="1:8" s="44" customFormat="1" outlineLevel="2" x14ac:dyDescent="0.5">
      <c r="A167" s="5" t="s">
        <v>118</v>
      </c>
      <c r="B167" s="5"/>
      <c r="C167" s="5"/>
      <c r="D167" s="6"/>
      <c r="E167" s="5"/>
      <c r="F167" s="6"/>
      <c r="G167" s="6">
        <f>+BUDGET[[#This Row],[Quantity]]*BUDGET[[#This Row],[Unit
Cost]]</f>
        <v>0</v>
      </c>
      <c r="H167" s="6">
        <f>ROUND(+BUDGET[[#This Row],[Total Cost LC]]*RATE,2)</f>
        <v>0</v>
      </c>
    </row>
    <row r="168" spans="1:8" s="44" customFormat="1" outlineLevel="2" x14ac:dyDescent="0.5">
      <c r="A168" s="5" t="s">
        <v>118</v>
      </c>
      <c r="B168" s="5"/>
      <c r="C168" s="5"/>
      <c r="D168" s="6"/>
      <c r="E168" s="5"/>
      <c r="F168" s="6"/>
      <c r="G168" s="6">
        <f>+BUDGET[[#This Row],[Quantity]]*BUDGET[[#This Row],[Unit
Cost]]</f>
        <v>0</v>
      </c>
      <c r="H168" s="6">
        <f>ROUND(+BUDGET[[#This Row],[Total Cost LC]]*RATE,2)</f>
        <v>0</v>
      </c>
    </row>
    <row r="169" spans="1:8" s="44" customFormat="1" outlineLevel="2" x14ac:dyDescent="0.5">
      <c r="A169" s="5" t="s">
        <v>118</v>
      </c>
      <c r="B169" s="5"/>
      <c r="C169" s="5"/>
      <c r="D169" s="6"/>
      <c r="E169" s="5"/>
      <c r="F169" s="6"/>
      <c r="G169" s="6">
        <f>+BUDGET[[#This Row],[Quantity]]*BUDGET[[#This Row],[Unit
Cost]]</f>
        <v>0</v>
      </c>
      <c r="H169" s="6">
        <f>ROUND(+BUDGET[[#This Row],[Total Cost LC]]*RATE,2)</f>
        <v>0</v>
      </c>
    </row>
    <row r="170" spans="1:8" s="44" customFormat="1" outlineLevel="2" x14ac:dyDescent="0.5">
      <c r="A170" s="5" t="s">
        <v>118</v>
      </c>
      <c r="B170" s="5"/>
      <c r="C170" s="5"/>
      <c r="D170" s="6"/>
      <c r="E170" s="5"/>
      <c r="F170" s="6"/>
      <c r="G170" s="6">
        <f>+BUDGET[[#This Row],[Quantity]]*BUDGET[[#This Row],[Unit
Cost]]</f>
        <v>0</v>
      </c>
      <c r="H170" s="6">
        <f>ROUND(+BUDGET[[#This Row],[Total Cost LC]]*RATE,2)</f>
        <v>0</v>
      </c>
    </row>
    <row r="171" spans="1:8" s="44" customFormat="1" outlineLevel="1" x14ac:dyDescent="0.5">
      <c r="A171" s="124" t="s">
        <v>119</v>
      </c>
      <c r="B171" s="124" t="s">
        <v>120</v>
      </c>
      <c r="C171" s="124"/>
      <c r="D171" s="130"/>
      <c r="E171" s="124"/>
      <c r="F171" s="125" t="s">
        <v>118</v>
      </c>
      <c r="G171" s="126">
        <f>SUMIFS(BUDGET[Total Cost LC],BUDGET[Output
Code],BUDGET[[#This Row],[Unit
Cost]])</f>
        <v>0</v>
      </c>
      <c r="H171" s="126">
        <f>ROUND(+BUDGET[[#This Row],[Total Cost LC]]*RATE,2)</f>
        <v>0</v>
      </c>
    </row>
    <row r="172" spans="1:8" s="44" customFormat="1" outlineLevel="2" x14ac:dyDescent="0.5">
      <c r="A172" s="23" t="s">
        <v>121</v>
      </c>
      <c r="B172" s="5"/>
      <c r="C172" s="5"/>
      <c r="D172" s="6"/>
      <c r="E172" s="5"/>
      <c r="F172" s="6"/>
      <c r="G172" s="6">
        <f>+BUDGET[[#This Row],[Quantity]]*BUDGET[[#This Row],[Unit
Cost]]</f>
        <v>0</v>
      </c>
      <c r="H172" s="6">
        <f>ROUND(+BUDGET[[#This Row],[Total Cost LC]]*RATE,2)</f>
        <v>0</v>
      </c>
    </row>
    <row r="173" spans="1:8" s="44" customFormat="1" outlineLevel="2" x14ac:dyDescent="0.5">
      <c r="A173" s="5" t="s">
        <v>121</v>
      </c>
      <c r="B173" s="5"/>
      <c r="C173" s="5"/>
      <c r="D173" s="6"/>
      <c r="E173" s="5"/>
      <c r="F173" s="6"/>
      <c r="G173" s="6">
        <f>+BUDGET[[#This Row],[Quantity]]*BUDGET[[#This Row],[Unit
Cost]]</f>
        <v>0</v>
      </c>
      <c r="H173" s="6">
        <f>ROUND(+BUDGET[[#This Row],[Total Cost LC]]*RATE,2)</f>
        <v>0</v>
      </c>
    </row>
    <row r="174" spans="1:8" s="44" customFormat="1" outlineLevel="2" x14ac:dyDescent="0.5">
      <c r="A174" s="5" t="s">
        <v>121</v>
      </c>
      <c r="B174" s="5"/>
      <c r="C174" s="5"/>
      <c r="D174" s="6"/>
      <c r="E174" s="5"/>
      <c r="F174" s="6"/>
      <c r="G174" s="6">
        <f>+BUDGET[[#This Row],[Quantity]]*BUDGET[[#This Row],[Unit
Cost]]</f>
        <v>0</v>
      </c>
      <c r="H174" s="6">
        <f>ROUND(+BUDGET[[#This Row],[Total Cost LC]]*RATE,2)</f>
        <v>0</v>
      </c>
    </row>
    <row r="175" spans="1:8" s="44" customFormat="1" outlineLevel="2" x14ac:dyDescent="0.5">
      <c r="A175" s="5" t="s">
        <v>121</v>
      </c>
      <c r="B175" s="5"/>
      <c r="C175" s="5"/>
      <c r="D175" s="6"/>
      <c r="E175" s="5"/>
      <c r="F175" s="6"/>
      <c r="G175" s="6">
        <f>+BUDGET[[#This Row],[Quantity]]*BUDGET[[#This Row],[Unit
Cost]]</f>
        <v>0</v>
      </c>
      <c r="H175" s="6">
        <f>ROUND(+BUDGET[[#This Row],[Total Cost LC]]*RATE,2)</f>
        <v>0</v>
      </c>
    </row>
    <row r="176" spans="1:8" s="44" customFormat="1" outlineLevel="2" x14ac:dyDescent="0.5">
      <c r="A176" s="5" t="s">
        <v>121</v>
      </c>
      <c r="B176" s="5"/>
      <c r="C176" s="5"/>
      <c r="D176" s="6"/>
      <c r="E176" s="5"/>
      <c r="F176" s="6"/>
      <c r="G176" s="6">
        <f>+BUDGET[[#This Row],[Quantity]]*BUDGET[[#This Row],[Unit
Cost]]</f>
        <v>0</v>
      </c>
      <c r="H176" s="6">
        <f>ROUND(+BUDGET[[#This Row],[Total Cost LC]]*RATE,2)</f>
        <v>0</v>
      </c>
    </row>
    <row r="177" spans="1:8" s="44" customFormat="1" outlineLevel="1" x14ac:dyDescent="0.5">
      <c r="A177" s="124" t="s">
        <v>122</v>
      </c>
      <c r="B177" s="124" t="s">
        <v>123</v>
      </c>
      <c r="C177" s="124"/>
      <c r="D177" s="130"/>
      <c r="E177" s="124"/>
      <c r="F177" s="125" t="s">
        <v>121</v>
      </c>
      <c r="G177" s="126">
        <f>SUMIFS(BUDGET[Total Cost LC],BUDGET[Output
Code],BUDGET[[#This Row],[Unit
Cost]])</f>
        <v>0</v>
      </c>
      <c r="H177" s="126">
        <f>ROUND(+BUDGET[[#This Row],[Total Cost LC]]*RATE,2)</f>
        <v>0</v>
      </c>
    </row>
    <row r="178" spans="1:8" s="44" customFormat="1" outlineLevel="2" x14ac:dyDescent="0.5">
      <c r="A178" s="23" t="s">
        <v>124</v>
      </c>
      <c r="B178" s="5"/>
      <c r="C178" s="5"/>
      <c r="D178" s="6"/>
      <c r="E178" s="5"/>
      <c r="F178" s="6"/>
      <c r="G178" s="6">
        <f>+BUDGET[[#This Row],[Quantity]]*BUDGET[[#This Row],[Unit
Cost]]</f>
        <v>0</v>
      </c>
      <c r="H178" s="6">
        <f>ROUND(+BUDGET[[#This Row],[Total Cost LC]]*RATE,2)</f>
        <v>0</v>
      </c>
    </row>
    <row r="179" spans="1:8" s="44" customFormat="1" outlineLevel="2" x14ac:dyDescent="0.5">
      <c r="A179" s="5" t="s">
        <v>124</v>
      </c>
      <c r="B179" s="5"/>
      <c r="C179" s="5"/>
      <c r="D179" s="6"/>
      <c r="E179" s="5"/>
      <c r="F179" s="6"/>
      <c r="G179" s="6">
        <f>+BUDGET[[#This Row],[Quantity]]*BUDGET[[#This Row],[Unit
Cost]]</f>
        <v>0</v>
      </c>
      <c r="H179" s="6">
        <f>ROUND(+BUDGET[[#This Row],[Total Cost LC]]*RATE,2)</f>
        <v>0</v>
      </c>
    </row>
    <row r="180" spans="1:8" s="44" customFormat="1" outlineLevel="2" x14ac:dyDescent="0.5">
      <c r="A180" s="5" t="s">
        <v>124</v>
      </c>
      <c r="B180" s="5"/>
      <c r="C180" s="5"/>
      <c r="D180" s="6"/>
      <c r="E180" s="5"/>
      <c r="F180" s="6"/>
      <c r="G180" s="6">
        <f>+BUDGET[[#This Row],[Quantity]]*BUDGET[[#This Row],[Unit
Cost]]</f>
        <v>0</v>
      </c>
      <c r="H180" s="6">
        <f>ROUND(+BUDGET[[#This Row],[Total Cost LC]]*RATE,2)</f>
        <v>0</v>
      </c>
    </row>
    <row r="181" spans="1:8" s="44" customFormat="1" outlineLevel="2" x14ac:dyDescent="0.5">
      <c r="A181" s="5" t="s">
        <v>124</v>
      </c>
      <c r="B181" s="5"/>
      <c r="C181" s="5"/>
      <c r="D181" s="6"/>
      <c r="E181" s="5"/>
      <c r="F181" s="6"/>
      <c r="G181" s="6">
        <f>+BUDGET[[#This Row],[Quantity]]*BUDGET[[#This Row],[Unit
Cost]]</f>
        <v>0</v>
      </c>
      <c r="H181" s="6">
        <f>ROUND(+BUDGET[[#This Row],[Total Cost LC]]*RATE,2)</f>
        <v>0</v>
      </c>
    </row>
    <row r="182" spans="1:8" s="44" customFormat="1" outlineLevel="2" x14ac:dyDescent="0.5">
      <c r="A182" s="5" t="s">
        <v>124</v>
      </c>
      <c r="B182" s="5"/>
      <c r="C182" s="5"/>
      <c r="D182" s="6"/>
      <c r="E182" s="5"/>
      <c r="F182" s="6"/>
      <c r="G182" s="6">
        <f>+BUDGET[[#This Row],[Quantity]]*BUDGET[[#This Row],[Unit
Cost]]</f>
        <v>0</v>
      </c>
      <c r="H182" s="6">
        <f>ROUND(+BUDGET[[#This Row],[Total Cost LC]]*RATE,2)</f>
        <v>0</v>
      </c>
    </row>
    <row r="183" spans="1:8" s="44" customFormat="1" outlineLevel="1" x14ac:dyDescent="0.5">
      <c r="A183" s="124" t="s">
        <v>125</v>
      </c>
      <c r="B183" s="124" t="s">
        <v>126</v>
      </c>
      <c r="C183" s="124"/>
      <c r="D183" s="130"/>
      <c r="E183" s="124"/>
      <c r="F183" s="125" t="s">
        <v>124</v>
      </c>
      <c r="G183" s="126">
        <f>SUMIFS(BUDGET[Total Cost LC],BUDGET[Output
Code],BUDGET[[#This Row],[Unit
Cost]])</f>
        <v>0</v>
      </c>
      <c r="H183" s="126">
        <f>ROUND(+BUDGET[[#This Row],[Total Cost LC]]*RATE,2)</f>
        <v>0</v>
      </c>
    </row>
    <row r="184" spans="1:8" s="44" customFormat="1" outlineLevel="2" x14ac:dyDescent="0.5">
      <c r="A184" s="23" t="s">
        <v>127</v>
      </c>
      <c r="B184" s="5"/>
      <c r="C184" s="5"/>
      <c r="D184" s="6"/>
      <c r="E184" s="5"/>
      <c r="F184" s="6"/>
      <c r="G184" s="6">
        <f>+BUDGET[[#This Row],[Quantity]]*BUDGET[[#This Row],[Unit
Cost]]</f>
        <v>0</v>
      </c>
      <c r="H184" s="6">
        <f>ROUND(+BUDGET[[#This Row],[Total Cost LC]]*RATE,2)</f>
        <v>0</v>
      </c>
    </row>
    <row r="185" spans="1:8" s="44" customFormat="1" outlineLevel="2" x14ac:dyDescent="0.5">
      <c r="A185" s="5" t="s">
        <v>127</v>
      </c>
      <c r="B185" s="5"/>
      <c r="C185" s="5"/>
      <c r="D185" s="6"/>
      <c r="E185" s="5"/>
      <c r="F185" s="6"/>
      <c r="G185" s="6">
        <f>+BUDGET[[#This Row],[Quantity]]*BUDGET[[#This Row],[Unit
Cost]]</f>
        <v>0</v>
      </c>
      <c r="H185" s="6">
        <f>ROUND(+BUDGET[[#This Row],[Total Cost LC]]*RATE,2)</f>
        <v>0</v>
      </c>
    </row>
    <row r="186" spans="1:8" s="44" customFormat="1" outlineLevel="2" x14ac:dyDescent="0.5">
      <c r="A186" s="5" t="s">
        <v>127</v>
      </c>
      <c r="B186" s="5"/>
      <c r="C186" s="5"/>
      <c r="D186" s="6"/>
      <c r="E186" s="5"/>
      <c r="F186" s="6"/>
      <c r="G186" s="6">
        <f>+BUDGET[[#This Row],[Quantity]]*BUDGET[[#This Row],[Unit
Cost]]</f>
        <v>0</v>
      </c>
      <c r="H186" s="6">
        <f>ROUND(+BUDGET[[#This Row],[Total Cost LC]]*RATE,2)</f>
        <v>0</v>
      </c>
    </row>
    <row r="187" spans="1:8" s="44" customFormat="1" outlineLevel="2" x14ac:dyDescent="0.5">
      <c r="A187" s="5" t="s">
        <v>127</v>
      </c>
      <c r="B187" s="5"/>
      <c r="C187" s="5"/>
      <c r="D187" s="6"/>
      <c r="E187" s="5"/>
      <c r="F187" s="6"/>
      <c r="G187" s="6">
        <f>+BUDGET[[#This Row],[Quantity]]*BUDGET[[#This Row],[Unit
Cost]]</f>
        <v>0</v>
      </c>
      <c r="H187" s="6">
        <f>ROUND(+BUDGET[[#This Row],[Total Cost LC]]*RATE,2)</f>
        <v>0</v>
      </c>
    </row>
    <row r="188" spans="1:8" s="44" customFormat="1" outlineLevel="2" x14ac:dyDescent="0.5">
      <c r="A188" s="5" t="s">
        <v>127</v>
      </c>
      <c r="B188" s="5"/>
      <c r="C188" s="5"/>
      <c r="D188" s="6"/>
      <c r="E188" s="5"/>
      <c r="F188" s="6"/>
      <c r="G188" s="6">
        <f>+BUDGET[[#This Row],[Quantity]]*BUDGET[[#This Row],[Unit
Cost]]</f>
        <v>0</v>
      </c>
      <c r="H188" s="6">
        <f>ROUND(+BUDGET[[#This Row],[Total Cost LC]]*RATE,2)</f>
        <v>0</v>
      </c>
    </row>
    <row r="189" spans="1:8" s="44" customFormat="1" outlineLevel="1" x14ac:dyDescent="0.5">
      <c r="A189" s="124" t="s">
        <v>128</v>
      </c>
      <c r="B189" s="124" t="s">
        <v>129</v>
      </c>
      <c r="C189" s="124"/>
      <c r="D189" s="130"/>
      <c r="E189" s="124"/>
      <c r="F189" s="125" t="s">
        <v>127</v>
      </c>
      <c r="G189" s="126">
        <f>SUMIFS(BUDGET[Total Cost LC],BUDGET[Output
Code],BUDGET[[#This Row],[Unit
Cost]])</f>
        <v>0</v>
      </c>
      <c r="H189" s="126">
        <f>ROUND(+BUDGET[[#This Row],[Total Cost LC]]*RATE,2)</f>
        <v>0</v>
      </c>
    </row>
    <row r="190" spans="1:8" s="44" customFormat="1" x14ac:dyDescent="0.5">
      <c r="A190" s="127" t="s">
        <v>130</v>
      </c>
      <c r="B190" s="127" t="s">
        <v>131</v>
      </c>
      <c r="C190" s="127"/>
      <c r="D190" s="128"/>
      <c r="E190" s="127"/>
      <c r="F190" s="131"/>
      <c r="G190" s="129">
        <f>+G153+G159+G165+G171+G177+G183+G189</f>
        <v>0</v>
      </c>
      <c r="H190" s="129">
        <f>ROUND(+BUDGET[[#This Row],[Total Cost LC]]*RATE,2)</f>
        <v>0</v>
      </c>
    </row>
    <row r="191" spans="1:8" s="44" customFormat="1" outlineLevel="2" x14ac:dyDescent="0.5">
      <c r="A191" s="23" t="s">
        <v>132</v>
      </c>
      <c r="B191" s="5"/>
      <c r="C191" s="5"/>
      <c r="D191" s="6"/>
      <c r="E191" s="5"/>
      <c r="F191" s="6"/>
      <c r="G191" s="6">
        <f>+BUDGET[[#This Row],[Quantity]]*BUDGET[[#This Row],[Unit
Cost]]</f>
        <v>0</v>
      </c>
      <c r="H191" s="6">
        <f>ROUND(+BUDGET[[#This Row],[Total Cost LC]]*RATE,2)</f>
        <v>0</v>
      </c>
    </row>
    <row r="192" spans="1:8" s="44" customFormat="1" outlineLevel="2" x14ac:dyDescent="0.5">
      <c r="A192" s="5" t="s">
        <v>132</v>
      </c>
      <c r="B192" s="5"/>
      <c r="C192" s="5"/>
      <c r="D192" s="6"/>
      <c r="E192" s="5"/>
      <c r="F192" s="6"/>
      <c r="G192" s="6">
        <f>+BUDGET[[#This Row],[Quantity]]*BUDGET[[#This Row],[Unit
Cost]]</f>
        <v>0</v>
      </c>
      <c r="H192" s="6">
        <f>ROUND(+BUDGET[[#This Row],[Total Cost LC]]*RATE,2)</f>
        <v>0</v>
      </c>
    </row>
    <row r="193" spans="1:8" s="44" customFormat="1" outlineLevel="2" x14ac:dyDescent="0.5">
      <c r="A193" s="5" t="s">
        <v>132</v>
      </c>
      <c r="B193" s="5"/>
      <c r="C193" s="5"/>
      <c r="D193" s="6"/>
      <c r="E193" s="5"/>
      <c r="F193" s="6"/>
      <c r="G193" s="6">
        <f>+BUDGET[[#This Row],[Quantity]]*BUDGET[[#This Row],[Unit
Cost]]</f>
        <v>0</v>
      </c>
      <c r="H193" s="6">
        <f>ROUND(+BUDGET[[#This Row],[Total Cost LC]]*RATE,2)</f>
        <v>0</v>
      </c>
    </row>
    <row r="194" spans="1:8" s="44" customFormat="1" outlineLevel="2" x14ac:dyDescent="0.5">
      <c r="A194" s="5" t="s">
        <v>132</v>
      </c>
      <c r="B194" s="5"/>
      <c r="C194" s="5"/>
      <c r="D194" s="6"/>
      <c r="E194" s="5"/>
      <c r="F194" s="6"/>
      <c r="G194" s="6">
        <f>+BUDGET[[#This Row],[Quantity]]*BUDGET[[#This Row],[Unit
Cost]]</f>
        <v>0</v>
      </c>
      <c r="H194" s="6">
        <f>ROUND(+BUDGET[[#This Row],[Total Cost LC]]*RATE,2)</f>
        <v>0</v>
      </c>
    </row>
    <row r="195" spans="1:8" s="44" customFormat="1" outlineLevel="2" x14ac:dyDescent="0.5">
      <c r="A195" s="5" t="s">
        <v>132</v>
      </c>
      <c r="B195" s="5"/>
      <c r="C195" s="5"/>
      <c r="D195" s="6"/>
      <c r="E195" s="5"/>
      <c r="F195" s="6"/>
      <c r="G195" s="6">
        <f>+BUDGET[[#This Row],[Quantity]]*BUDGET[[#This Row],[Unit
Cost]]</f>
        <v>0</v>
      </c>
      <c r="H195" s="6">
        <f>ROUND(+BUDGET[[#This Row],[Total Cost LC]]*RATE,2)</f>
        <v>0</v>
      </c>
    </row>
    <row r="196" spans="1:8" s="44" customFormat="1" outlineLevel="1" x14ac:dyDescent="0.5">
      <c r="A196" s="124" t="s">
        <v>133</v>
      </c>
      <c r="B196" s="124" t="s">
        <v>134</v>
      </c>
      <c r="C196" s="124"/>
      <c r="D196" s="130"/>
      <c r="E196" s="124"/>
      <c r="F196" s="125" t="s">
        <v>132</v>
      </c>
      <c r="G196" s="126">
        <f>SUMIFS(BUDGET[Total Cost LC],BUDGET[Output
Code],BUDGET[[#This Row],[Unit
Cost]])</f>
        <v>0</v>
      </c>
      <c r="H196" s="126">
        <f>ROUND(+BUDGET[[#This Row],[Total Cost LC]]*RATE,2)</f>
        <v>0</v>
      </c>
    </row>
    <row r="197" spans="1:8" s="44" customFormat="1" x14ac:dyDescent="0.5">
      <c r="A197" s="127" t="s">
        <v>135</v>
      </c>
      <c r="B197" s="127" t="s">
        <v>136</v>
      </c>
      <c r="C197" s="127"/>
      <c r="D197" s="128"/>
      <c r="E197" s="127"/>
      <c r="F197" s="131"/>
      <c r="G197" s="129">
        <f>+G196</f>
        <v>0</v>
      </c>
      <c r="H197" s="129">
        <f>ROUND(+BUDGET[[#This Row],[Total Cost LC]]*RATE,2)</f>
        <v>0</v>
      </c>
    </row>
    <row r="198" spans="1:8" s="44" customFormat="1" outlineLevel="2" x14ac:dyDescent="0.5">
      <c r="A198" s="23" t="s">
        <v>137</v>
      </c>
      <c r="B198" s="5"/>
      <c r="C198" s="5"/>
      <c r="D198" s="6"/>
      <c r="E198" s="5"/>
      <c r="F198" s="6"/>
      <c r="G198" s="6">
        <f>+BUDGET[[#This Row],[Quantity]]*BUDGET[[#This Row],[Unit
Cost]]</f>
        <v>0</v>
      </c>
      <c r="H198" s="6">
        <f>ROUND(+BUDGET[[#This Row],[Total Cost LC]]*RATE,2)</f>
        <v>0</v>
      </c>
    </row>
    <row r="199" spans="1:8" s="44" customFormat="1" outlineLevel="2" x14ac:dyDescent="0.5">
      <c r="A199" s="5" t="s">
        <v>137</v>
      </c>
      <c r="B199" s="5"/>
      <c r="C199" s="5"/>
      <c r="D199" s="6"/>
      <c r="E199" s="5"/>
      <c r="F199" s="6"/>
      <c r="G199" s="6">
        <f>+BUDGET[[#This Row],[Quantity]]*BUDGET[[#This Row],[Unit
Cost]]</f>
        <v>0</v>
      </c>
      <c r="H199" s="6">
        <f>ROUND(+BUDGET[[#This Row],[Total Cost LC]]*RATE,2)</f>
        <v>0</v>
      </c>
    </row>
    <row r="200" spans="1:8" s="44" customFormat="1" outlineLevel="2" x14ac:dyDescent="0.5">
      <c r="A200" s="5" t="s">
        <v>137</v>
      </c>
      <c r="B200" s="5"/>
      <c r="C200" s="5"/>
      <c r="D200" s="6"/>
      <c r="E200" s="5"/>
      <c r="F200" s="6"/>
      <c r="G200" s="6">
        <f>+BUDGET[[#This Row],[Quantity]]*BUDGET[[#This Row],[Unit
Cost]]</f>
        <v>0</v>
      </c>
      <c r="H200" s="6">
        <f>ROUND(+BUDGET[[#This Row],[Total Cost LC]]*RATE,2)</f>
        <v>0</v>
      </c>
    </row>
    <row r="201" spans="1:8" s="44" customFormat="1" outlineLevel="2" x14ac:dyDescent="0.5">
      <c r="A201" s="5" t="s">
        <v>137</v>
      </c>
      <c r="B201" s="5"/>
      <c r="C201" s="5"/>
      <c r="D201" s="6"/>
      <c r="E201" s="5"/>
      <c r="F201" s="6"/>
      <c r="G201" s="6">
        <f>+BUDGET[[#This Row],[Quantity]]*BUDGET[[#This Row],[Unit
Cost]]</f>
        <v>0</v>
      </c>
      <c r="H201" s="6">
        <f>ROUND(+BUDGET[[#This Row],[Total Cost LC]]*RATE,2)</f>
        <v>0</v>
      </c>
    </row>
    <row r="202" spans="1:8" s="44" customFormat="1" outlineLevel="2" x14ac:dyDescent="0.5">
      <c r="A202" s="5" t="s">
        <v>137</v>
      </c>
      <c r="B202" s="5"/>
      <c r="C202" s="5"/>
      <c r="D202" s="6"/>
      <c r="E202" s="5"/>
      <c r="F202" s="6"/>
      <c r="G202" s="6">
        <f>+BUDGET[[#This Row],[Quantity]]*BUDGET[[#This Row],[Unit
Cost]]</f>
        <v>0</v>
      </c>
      <c r="H202" s="6">
        <f>ROUND(+BUDGET[[#This Row],[Total Cost LC]]*RATE,2)</f>
        <v>0</v>
      </c>
    </row>
    <row r="203" spans="1:8" s="44" customFormat="1" outlineLevel="1" x14ac:dyDescent="0.5">
      <c r="A203" s="124" t="s">
        <v>138</v>
      </c>
      <c r="B203" s="124" t="s">
        <v>139</v>
      </c>
      <c r="C203" s="124"/>
      <c r="D203" s="130"/>
      <c r="E203" s="124"/>
      <c r="F203" s="125" t="s">
        <v>137</v>
      </c>
      <c r="G203" s="126">
        <f>SUMIFS(BUDGET[Total Cost LC],BUDGET[Output
Code],BUDGET[[#This Row],[Unit
Cost]])</f>
        <v>0</v>
      </c>
      <c r="H203" s="126">
        <f>ROUND(+BUDGET[[#This Row],[Total Cost LC]]*RATE,2)</f>
        <v>0</v>
      </c>
    </row>
    <row r="204" spans="1:8" s="44" customFormat="1" outlineLevel="2" x14ac:dyDescent="0.5">
      <c r="A204" s="23" t="s">
        <v>140</v>
      </c>
      <c r="B204" s="5"/>
      <c r="C204" s="5"/>
      <c r="D204" s="6"/>
      <c r="E204" s="5"/>
      <c r="F204" s="6"/>
      <c r="G204" s="6">
        <f>+BUDGET[[#This Row],[Quantity]]*BUDGET[[#This Row],[Unit
Cost]]</f>
        <v>0</v>
      </c>
      <c r="H204" s="6">
        <f>ROUND(+BUDGET[[#This Row],[Total Cost LC]]*RATE,2)</f>
        <v>0</v>
      </c>
    </row>
    <row r="205" spans="1:8" s="44" customFormat="1" outlineLevel="2" x14ac:dyDescent="0.5">
      <c r="A205" s="5" t="s">
        <v>140</v>
      </c>
      <c r="B205" s="5"/>
      <c r="C205" s="5"/>
      <c r="D205" s="6"/>
      <c r="E205" s="5"/>
      <c r="F205" s="6"/>
      <c r="G205" s="6">
        <f>+BUDGET[[#This Row],[Quantity]]*BUDGET[[#This Row],[Unit
Cost]]</f>
        <v>0</v>
      </c>
      <c r="H205" s="6">
        <f>ROUND(+BUDGET[[#This Row],[Total Cost LC]]*RATE,2)</f>
        <v>0</v>
      </c>
    </row>
    <row r="206" spans="1:8" s="44" customFormat="1" outlineLevel="2" x14ac:dyDescent="0.5">
      <c r="A206" s="5" t="s">
        <v>140</v>
      </c>
      <c r="B206" s="5"/>
      <c r="C206" s="5"/>
      <c r="D206" s="6"/>
      <c r="E206" s="5"/>
      <c r="F206" s="6"/>
      <c r="G206" s="6">
        <f>+BUDGET[[#This Row],[Quantity]]*BUDGET[[#This Row],[Unit
Cost]]</f>
        <v>0</v>
      </c>
      <c r="H206" s="6">
        <f>ROUND(+BUDGET[[#This Row],[Total Cost LC]]*RATE,2)</f>
        <v>0</v>
      </c>
    </row>
    <row r="207" spans="1:8" s="44" customFormat="1" outlineLevel="2" x14ac:dyDescent="0.5">
      <c r="A207" s="5" t="s">
        <v>140</v>
      </c>
      <c r="B207" s="5"/>
      <c r="C207" s="5"/>
      <c r="D207" s="6"/>
      <c r="E207" s="5"/>
      <c r="F207" s="6"/>
      <c r="G207" s="6">
        <f>+BUDGET[[#This Row],[Quantity]]*BUDGET[[#This Row],[Unit
Cost]]</f>
        <v>0</v>
      </c>
      <c r="H207" s="6">
        <f>ROUND(+BUDGET[[#This Row],[Total Cost LC]]*RATE,2)</f>
        <v>0</v>
      </c>
    </row>
    <row r="208" spans="1:8" s="44" customFormat="1" outlineLevel="2" x14ac:dyDescent="0.5">
      <c r="A208" s="5" t="s">
        <v>140</v>
      </c>
      <c r="B208" s="5"/>
      <c r="C208" s="5"/>
      <c r="D208" s="6"/>
      <c r="E208" s="5"/>
      <c r="F208" s="6"/>
      <c r="G208" s="6">
        <f>+BUDGET[[#This Row],[Quantity]]*BUDGET[[#This Row],[Unit
Cost]]</f>
        <v>0</v>
      </c>
      <c r="H208" s="6">
        <f>ROUND(+BUDGET[[#This Row],[Total Cost LC]]*RATE,2)</f>
        <v>0</v>
      </c>
    </row>
    <row r="209" spans="1:8" s="44" customFormat="1" outlineLevel="1" x14ac:dyDescent="0.5">
      <c r="A209" s="124" t="s">
        <v>141</v>
      </c>
      <c r="B209" s="124" t="s">
        <v>142</v>
      </c>
      <c r="C209" s="124"/>
      <c r="D209" s="130"/>
      <c r="E209" s="124"/>
      <c r="F209" s="125" t="s">
        <v>140</v>
      </c>
      <c r="G209" s="126">
        <f>SUMIFS(BUDGET[Total Cost LC],BUDGET[Output
Code],BUDGET[[#This Row],[Unit
Cost]])</f>
        <v>0</v>
      </c>
      <c r="H209" s="126">
        <f>ROUND(+BUDGET[[#This Row],[Total Cost LC]]*RATE,2)</f>
        <v>0</v>
      </c>
    </row>
    <row r="210" spans="1:8" s="44" customFormat="1" outlineLevel="2" x14ac:dyDescent="0.5">
      <c r="A210" s="23" t="s">
        <v>143</v>
      </c>
      <c r="B210" s="5"/>
      <c r="C210" s="5"/>
      <c r="D210" s="6"/>
      <c r="E210" s="5"/>
      <c r="F210" s="6"/>
      <c r="G210" s="6">
        <f>+BUDGET[[#This Row],[Quantity]]*BUDGET[[#This Row],[Unit
Cost]]</f>
        <v>0</v>
      </c>
      <c r="H210" s="6">
        <f>ROUND(+BUDGET[[#This Row],[Total Cost LC]]*RATE,2)</f>
        <v>0</v>
      </c>
    </row>
    <row r="211" spans="1:8" s="44" customFormat="1" outlineLevel="2" x14ac:dyDescent="0.5">
      <c r="A211" s="5" t="s">
        <v>143</v>
      </c>
      <c r="B211" s="5"/>
      <c r="C211" s="5"/>
      <c r="D211" s="6"/>
      <c r="E211" s="5"/>
      <c r="F211" s="6"/>
      <c r="G211" s="6">
        <f>+BUDGET[[#This Row],[Quantity]]*BUDGET[[#This Row],[Unit
Cost]]</f>
        <v>0</v>
      </c>
      <c r="H211" s="6">
        <f>ROUND(+BUDGET[[#This Row],[Total Cost LC]]*RATE,2)</f>
        <v>0</v>
      </c>
    </row>
    <row r="212" spans="1:8" s="44" customFormat="1" outlineLevel="2" x14ac:dyDescent="0.5">
      <c r="A212" s="5" t="s">
        <v>143</v>
      </c>
      <c r="B212" s="5"/>
      <c r="C212" s="5"/>
      <c r="D212" s="6"/>
      <c r="E212" s="5"/>
      <c r="F212" s="6"/>
      <c r="G212" s="6">
        <f>+BUDGET[[#This Row],[Quantity]]*BUDGET[[#This Row],[Unit
Cost]]</f>
        <v>0</v>
      </c>
      <c r="H212" s="6">
        <f>ROUND(+BUDGET[[#This Row],[Total Cost LC]]*RATE,2)</f>
        <v>0</v>
      </c>
    </row>
    <row r="213" spans="1:8" s="44" customFormat="1" outlineLevel="2" x14ac:dyDescent="0.5">
      <c r="A213" s="5" t="s">
        <v>143</v>
      </c>
      <c r="B213" s="5"/>
      <c r="C213" s="5"/>
      <c r="D213" s="6"/>
      <c r="E213" s="5"/>
      <c r="F213" s="6"/>
      <c r="G213" s="6">
        <f>+BUDGET[[#This Row],[Quantity]]*BUDGET[[#This Row],[Unit
Cost]]</f>
        <v>0</v>
      </c>
      <c r="H213" s="6">
        <f>ROUND(+BUDGET[[#This Row],[Total Cost LC]]*RATE,2)</f>
        <v>0</v>
      </c>
    </row>
    <row r="214" spans="1:8" s="44" customFormat="1" outlineLevel="2" x14ac:dyDescent="0.5">
      <c r="A214" s="5" t="s">
        <v>143</v>
      </c>
      <c r="B214" s="5"/>
      <c r="C214" s="5"/>
      <c r="D214" s="6"/>
      <c r="E214" s="5"/>
      <c r="F214" s="6"/>
      <c r="G214" s="6">
        <f>+BUDGET[[#This Row],[Quantity]]*BUDGET[[#This Row],[Unit
Cost]]</f>
        <v>0</v>
      </c>
      <c r="H214" s="6">
        <f>ROUND(+BUDGET[[#This Row],[Total Cost LC]]*RATE,2)</f>
        <v>0</v>
      </c>
    </row>
    <row r="215" spans="1:8" s="44" customFormat="1" outlineLevel="1" x14ac:dyDescent="0.5">
      <c r="A215" s="124" t="s">
        <v>144</v>
      </c>
      <c r="B215" s="124" t="s">
        <v>145</v>
      </c>
      <c r="C215" s="124"/>
      <c r="D215" s="130"/>
      <c r="E215" s="124"/>
      <c r="F215" s="125" t="s">
        <v>143</v>
      </c>
      <c r="G215" s="126">
        <f>SUMIFS(BUDGET[Total Cost LC],BUDGET[Output
Code],BUDGET[[#This Row],[Unit
Cost]])</f>
        <v>0</v>
      </c>
      <c r="H215" s="126">
        <f>ROUND(+BUDGET[[#This Row],[Total Cost LC]]*RATE,2)</f>
        <v>0</v>
      </c>
    </row>
    <row r="216" spans="1:8" s="44" customFormat="1" x14ac:dyDescent="0.5">
      <c r="A216" s="127" t="s">
        <v>146</v>
      </c>
      <c r="B216" s="127" t="s">
        <v>139</v>
      </c>
      <c r="C216" s="127"/>
      <c r="D216" s="128"/>
      <c r="E216" s="127"/>
      <c r="F216" s="131"/>
      <c r="G216" s="129">
        <f>+G203+G209+G215</f>
        <v>0</v>
      </c>
      <c r="H216" s="129">
        <f>ROUND(+BUDGET[[#This Row],[Total Cost LC]]*RATE,2)</f>
        <v>0</v>
      </c>
    </row>
    <row r="217" spans="1:8" s="23" customFormat="1" ht="16.5" customHeight="1" x14ac:dyDescent="0.45">
      <c r="A217" s="45"/>
      <c r="B217" s="46" t="s">
        <v>147</v>
      </c>
      <c r="C217" s="45"/>
      <c r="D217" s="101"/>
      <c r="E217" s="45"/>
      <c r="F217" s="101"/>
      <c r="G217" s="47">
        <f>+G17+G24+G31+G50+G63+G82+G89+G102+G133+G140+G147+G190+G197+G216</f>
        <v>0</v>
      </c>
      <c r="H217" s="47">
        <f>+H17+H24+H31+H50+H63+H82+H89+H102+H133+H140+H147+H190+H197+H216</f>
        <v>0</v>
      </c>
    </row>
    <row r="218" spans="1:8" s="23" customFormat="1" ht="16.5" customHeight="1" x14ac:dyDescent="0.45">
      <c r="A218" s="48"/>
      <c r="B218" s="49" t="s">
        <v>148</v>
      </c>
      <c r="C218" s="50"/>
      <c r="D218" s="102"/>
      <c r="E218" s="50"/>
      <c r="F218" s="102"/>
      <c r="G218" s="51">
        <f>ROUND(BUDGET[[#Totals],[Total Cost LC]]*6.5/100,2)</f>
        <v>0</v>
      </c>
      <c r="H218" s="52">
        <f>ROUND(BUDGET[[#Totals],[Total Cost CHF]]*6.5/100,2)</f>
        <v>0</v>
      </c>
    </row>
    <row r="219" spans="1:8" s="23" customFormat="1" ht="16.5" customHeight="1" x14ac:dyDescent="0.45">
      <c r="A219" s="38"/>
      <c r="B219" s="39" t="s">
        <v>149</v>
      </c>
      <c r="C219" s="40"/>
      <c r="D219" s="103"/>
      <c r="E219" s="40"/>
      <c r="F219" s="132"/>
      <c r="G219" s="41">
        <f>+BUDGET[[#Totals],[Total Cost LC]]+G218</f>
        <v>0</v>
      </c>
      <c r="H219" s="42">
        <f>+BUDGET[[#Totals],[Total Cost CHF]]+H218</f>
        <v>0</v>
      </c>
    </row>
  </sheetData>
  <sheetProtection algorithmName="SHA-512" hashValue="IWkFtc72Nyt76SjYiMN42x5tGK+Juh1iyb0gDIrSlOe7BffpwBFKvJG5+XpX7le47JNh6A1wctZPoTaSr6TjjA==" saltValue="AVdQ7hMbDnooNiwRLuoLHg==" spinCount="100000" sheet="1" objects="1" scenarios="1" formatColumns="0" insertRows="0" deleteRows="0" selectLockedCells="1" autoFilter="0"/>
  <sortState xmlns:xlrd2="http://schemas.microsoft.com/office/spreadsheetml/2017/richdata2" ref="A11:H146">
    <sortCondition ref="B11:B146"/>
  </sortState>
  <mergeCells count="2">
    <mergeCell ref="A5:D5"/>
    <mergeCell ref="A8:D8"/>
  </mergeCells>
  <conditionalFormatting sqref="A205:A209 A211:A216 A11:A114 A121:A165 A178:A197">
    <cfRule type="containsBlanks" dxfId="177" priority="10">
      <formula>LEN(TRIM(A11))=0</formula>
    </cfRule>
  </conditionalFormatting>
  <conditionalFormatting sqref="A199:A203">
    <cfRule type="containsBlanks" dxfId="176" priority="7">
      <formula>LEN(TRIM(A199))=0</formula>
    </cfRule>
  </conditionalFormatting>
  <conditionalFormatting sqref="A198">
    <cfRule type="containsBlanks" dxfId="175" priority="6">
      <formula>LEN(TRIM(A198))=0</formula>
    </cfRule>
  </conditionalFormatting>
  <conditionalFormatting sqref="A204">
    <cfRule type="containsBlanks" dxfId="174" priority="5">
      <formula>LEN(TRIM(A204))=0</formula>
    </cfRule>
  </conditionalFormatting>
  <conditionalFormatting sqref="A210">
    <cfRule type="containsBlanks" dxfId="173" priority="4">
      <formula>LEN(TRIM(A210))=0</formula>
    </cfRule>
  </conditionalFormatting>
  <conditionalFormatting sqref="A115:A120">
    <cfRule type="containsBlanks" dxfId="172" priority="3">
      <formula>LEN(TRIM(A115))=0</formula>
    </cfRule>
  </conditionalFormatting>
  <conditionalFormatting sqref="A166:A171">
    <cfRule type="containsBlanks" dxfId="171" priority="2">
      <formula>LEN(TRIM(A166))=0</formula>
    </cfRule>
  </conditionalFormatting>
  <conditionalFormatting sqref="A172:A177">
    <cfRule type="containsBlanks" dxfId="170" priority="1">
      <formula>LEN(TRIM(A172))=0</formula>
    </cfRule>
  </conditionalFormatting>
  <pageMargins left="0.39370078740157483" right="0.39370078740157483" top="0.39370078740157483" bottom="0.74803149606299213" header="0.31496062992125984" footer="0.31496062992125984"/>
  <pageSetup paperSize="9" scale="73" fitToHeight="0" orientation="portrait" horizontalDpi="1200" verticalDpi="1200" r:id="rId1"/>
  <headerFooter>
    <oddFooter>&amp;R&amp;P/&amp;N&amp;L&amp;1#&amp;"Calibri"&amp;10&amp;K000000Internal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7F958B-3F9F-48CC-BC14-7A352B53DCDA}">
          <x14:formula1>
            <xm:f>budget_groups!$A$4:$A$54</xm:f>
          </x14:formula1>
          <xm:sqref>C28:C216 C11:C26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40B97-A43A-43B7-8201-523BE176ABE3}">
  <sheetPr codeName="Sheet2">
    <tabColor rgb="FFF5333F"/>
  </sheetPr>
  <dimension ref="A1:I29"/>
  <sheetViews>
    <sheetView showGridLines="0" view="pageBreakPreview" zoomScaleNormal="100" zoomScaleSheetLayoutView="100" workbookViewId="0">
      <selection activeCell="J4" sqref="J4"/>
    </sheetView>
  </sheetViews>
  <sheetFormatPr defaultColWidth="9.1328125" defaultRowHeight="15.75" x14ac:dyDescent="0.55000000000000004"/>
  <cols>
    <col min="1" max="1" width="6" style="1" customWidth="1"/>
    <col min="2" max="2" width="40.73046875" style="1" customWidth="1"/>
    <col min="3" max="3" width="8.3984375" style="1" customWidth="1"/>
    <col min="4" max="4" width="14.86328125" style="1" customWidth="1"/>
    <col min="5" max="5" width="19.3984375" style="1" customWidth="1"/>
    <col min="6" max="7" width="9.1328125" style="1"/>
    <col min="8" max="8" width="17.3984375" style="1" customWidth="1"/>
    <col min="9" max="16384" width="9.1328125" style="1"/>
  </cols>
  <sheetData>
    <row r="1" spans="1:5" x14ac:dyDescent="0.55000000000000004">
      <c r="A1" s="15"/>
    </row>
    <row r="2" spans="1:5" ht="33" x14ac:dyDescent="1.1499999999999999">
      <c r="E2" s="134" t="s">
        <v>150</v>
      </c>
    </row>
    <row r="3" spans="1:5" ht="9.75" customHeight="1" x14ac:dyDescent="0.55000000000000004"/>
    <row r="4" spans="1:5" ht="25.5" customHeight="1" x14ac:dyDescent="0.8">
      <c r="E4" s="135" t="str">
        <f>_xlfn.CONCAT(APP_CODE," - ",NS_NAME)</f>
        <v>MDRCCxxx - name of National Society (Country of operation)</v>
      </c>
    </row>
    <row r="5" spans="1:5" ht="22.15" x14ac:dyDescent="0.8">
      <c r="E5" s="135" t="str">
        <f>_xlfn.CONCAT(OPERATION)</f>
        <v>name of operation as published</v>
      </c>
    </row>
    <row r="9" spans="1:5" x14ac:dyDescent="0.55000000000000004">
      <c r="A9" s="165" t="s">
        <v>151</v>
      </c>
    </row>
    <row r="11" spans="1:5" s="2" customFormat="1" ht="20.65" x14ac:dyDescent="0.45">
      <c r="A11" s="166" t="s">
        <v>152</v>
      </c>
      <c r="B11" s="167"/>
      <c r="C11" s="167"/>
      <c r="D11" s="168"/>
      <c r="E11" s="169">
        <f>SUM(E12:E22)</f>
        <v>0</v>
      </c>
    </row>
    <row r="12" spans="1:5" s="2" customFormat="1" ht="18" customHeight="1" x14ac:dyDescent="0.45">
      <c r="A12" s="170" t="s">
        <v>26</v>
      </c>
      <c r="B12" s="2" t="s">
        <v>27</v>
      </c>
      <c r="D12" s="171"/>
      <c r="E12" s="191">
        <f>CHF_PO01</f>
        <v>0</v>
      </c>
    </row>
    <row r="13" spans="1:5" s="2" customFormat="1" ht="18" customHeight="1" x14ac:dyDescent="0.45">
      <c r="A13" s="170" t="s">
        <v>31</v>
      </c>
      <c r="B13" s="2" t="s">
        <v>32</v>
      </c>
      <c r="D13" s="171"/>
      <c r="E13" s="191">
        <f>CHF_PO02</f>
        <v>0</v>
      </c>
    </row>
    <row r="14" spans="1:5" s="2" customFormat="1" ht="18" customHeight="1" x14ac:dyDescent="0.45">
      <c r="A14" s="170" t="s">
        <v>37</v>
      </c>
      <c r="B14" s="2" t="s">
        <v>38</v>
      </c>
      <c r="D14" s="171"/>
      <c r="E14" s="191">
        <f>CHF_PO03</f>
        <v>0</v>
      </c>
    </row>
    <row r="15" spans="1:5" s="2" customFormat="1" ht="18" customHeight="1" x14ac:dyDescent="0.45">
      <c r="A15" s="170" t="s">
        <v>48</v>
      </c>
      <c r="B15" s="2" t="s">
        <v>49</v>
      </c>
      <c r="D15" s="171"/>
      <c r="E15" s="191">
        <f>CHF_PO04</f>
        <v>0</v>
      </c>
    </row>
    <row r="16" spans="1:5" s="2" customFormat="1" ht="18" customHeight="1" x14ac:dyDescent="0.45">
      <c r="A16" s="170" t="s">
        <v>56</v>
      </c>
      <c r="B16" s="2" t="s">
        <v>57</v>
      </c>
      <c r="D16" s="171"/>
      <c r="E16" s="191">
        <f>CHF_PO05</f>
        <v>0</v>
      </c>
    </row>
    <row r="17" spans="1:9" s="2" customFormat="1" ht="18" customHeight="1" x14ac:dyDescent="0.45">
      <c r="A17" s="170" t="s">
        <v>67</v>
      </c>
      <c r="B17" s="2" t="s">
        <v>68</v>
      </c>
      <c r="D17" s="171"/>
      <c r="E17" s="191">
        <f>CHF_PO06</f>
        <v>0</v>
      </c>
    </row>
    <row r="18" spans="1:9" s="2" customFormat="1" ht="18" customHeight="1" x14ac:dyDescent="0.45">
      <c r="A18" s="170" t="s">
        <v>72</v>
      </c>
      <c r="B18" s="2" t="s">
        <v>73</v>
      </c>
      <c r="D18" s="171"/>
      <c r="E18" s="191">
        <f>CHF_PO07</f>
        <v>0</v>
      </c>
    </row>
    <row r="19" spans="1:9" s="2" customFormat="1" ht="18" customHeight="1" x14ac:dyDescent="0.45">
      <c r="A19" s="170" t="s">
        <v>80</v>
      </c>
      <c r="B19" s="2" t="s">
        <v>81</v>
      </c>
      <c r="D19" s="171"/>
      <c r="E19" s="191">
        <f>CHF_PO08</f>
        <v>0</v>
      </c>
    </row>
    <row r="20" spans="1:9" s="2" customFormat="1" ht="18" customHeight="1" x14ac:dyDescent="0.45">
      <c r="A20" s="170" t="s">
        <v>97</v>
      </c>
      <c r="B20" s="2" t="s">
        <v>98</v>
      </c>
      <c r="D20" s="171"/>
      <c r="E20" s="191">
        <f>CHF_PO09</f>
        <v>0</v>
      </c>
    </row>
    <row r="21" spans="1:9" s="2" customFormat="1" ht="18" customHeight="1" x14ac:dyDescent="0.45">
      <c r="A21" s="170" t="s">
        <v>102</v>
      </c>
      <c r="B21" s="2" t="s">
        <v>103</v>
      </c>
      <c r="D21" s="171"/>
      <c r="E21" s="191" cm="1">
        <f t="array" ref="E21">CHF_PO10</f>
        <v>0</v>
      </c>
    </row>
    <row r="22" spans="1:9" s="2" customFormat="1" ht="18" customHeight="1" x14ac:dyDescent="0.55000000000000004">
      <c r="A22" s="170" t="s">
        <v>107</v>
      </c>
      <c r="B22" s="2" t="s">
        <v>108</v>
      </c>
      <c r="D22" s="171"/>
      <c r="E22" s="191">
        <f>CHF_PO11</f>
        <v>0</v>
      </c>
      <c r="H22" s="1"/>
    </row>
    <row r="23" spans="1:9" s="2" customFormat="1" ht="20.65" x14ac:dyDescent="0.45">
      <c r="A23" s="166" t="s">
        <v>153</v>
      </c>
      <c r="B23" s="167"/>
      <c r="C23" s="167"/>
      <c r="D23" s="168"/>
      <c r="E23" s="169">
        <f>SUM(E24:E26)</f>
        <v>0</v>
      </c>
    </row>
    <row r="24" spans="1:9" s="2" customFormat="1" ht="18.75" customHeight="1" x14ac:dyDescent="0.45">
      <c r="A24" s="170" t="s">
        <v>130</v>
      </c>
      <c r="B24" s="2" t="s">
        <v>131</v>
      </c>
      <c r="D24" s="171"/>
      <c r="E24" s="191">
        <f>CHF_EA01</f>
        <v>0</v>
      </c>
    </row>
    <row r="25" spans="1:9" s="2" customFormat="1" ht="18.75" customHeight="1" x14ac:dyDescent="0.45">
      <c r="A25" s="170" t="s">
        <v>135</v>
      </c>
      <c r="B25" s="2" t="s">
        <v>136</v>
      </c>
      <c r="D25" s="171"/>
      <c r="E25" s="191">
        <f>CHF_EA02</f>
        <v>0</v>
      </c>
    </row>
    <row r="26" spans="1:9" s="2" customFormat="1" ht="18.75" customHeight="1" x14ac:dyDescent="0.45">
      <c r="A26" s="170" t="s">
        <v>146</v>
      </c>
      <c r="B26" s="2" t="s">
        <v>154</v>
      </c>
      <c r="D26" s="171"/>
      <c r="E26" s="191">
        <f>CHF_EA03</f>
        <v>0</v>
      </c>
    </row>
    <row r="27" spans="1:9" x14ac:dyDescent="0.55000000000000004">
      <c r="E27" s="192"/>
      <c r="H27" s="172" t="s">
        <v>155</v>
      </c>
      <c r="I27" s="173"/>
    </row>
    <row r="28" spans="1:9" ht="23.65" x14ac:dyDescent="0.85">
      <c r="A28" s="174"/>
      <c r="B28" s="174" t="s">
        <v>156</v>
      </c>
      <c r="C28" s="174"/>
      <c r="D28" s="174"/>
      <c r="E28" s="175">
        <f>+E11+E23</f>
        <v>0</v>
      </c>
      <c r="H28" s="176">
        <f>+budget_tool!H219</f>
        <v>0</v>
      </c>
      <c r="I28" s="176">
        <f>+E28-H28</f>
        <v>0</v>
      </c>
    </row>
    <row r="29" spans="1:9" x14ac:dyDescent="0.55000000000000004">
      <c r="A29" s="177" t="s">
        <v>157</v>
      </c>
    </row>
  </sheetData>
  <sheetProtection algorithmName="SHA-512" hashValue="9ztREYVZhrvoxUuLNTYGUk0hbKwRDY4XGht00lTI5SuseiJi8HhLaYJXlH1wSlAc32K9AgHCfOQlTlFA4zhnZw==" saltValue="tUjRBd69cdLKoA/obmbI/A==" spinCount="100000" sheet="1" objects="1" scenarios="1"/>
  <pageMargins left="0.59055118110236227" right="0.59055118110236227" top="0.74803149606299213" bottom="0.74803149606299213" header="0.31496062992125984" footer="0.31496062992125984"/>
  <pageSetup paperSize="9" orientation="portrait" r:id="rId1"/>
  <headerFooter>
    <oddFooter>&amp;C&amp;K00-049&amp;D&amp;R&amp;"Arial,Regular"&amp;9&amp;K00-049#V2022.01&amp;L&amp;1#&amp;"Calibri"&amp;10&amp;K000000Internal</oddFooter>
  </headerFooter>
  <ignoredErrors>
    <ignoredError sqref="E23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D3F59-6352-4A75-B756-0C16B0B8168A}">
  <sheetPr>
    <tabColor rgb="FF011E41"/>
  </sheetPr>
  <dimension ref="A1:I58"/>
  <sheetViews>
    <sheetView showGridLines="0" tabSelected="1" view="pageBreakPreview" topLeftCell="A41" zoomScale="107" zoomScaleNormal="100" zoomScaleSheetLayoutView="107" workbookViewId="0">
      <selection activeCell="F20" sqref="F20"/>
    </sheetView>
  </sheetViews>
  <sheetFormatPr defaultColWidth="9.1328125" defaultRowHeight="15.75" x14ac:dyDescent="0.55000000000000004"/>
  <cols>
    <col min="1" max="1" width="1.86328125" style="1" customWidth="1"/>
    <col min="2" max="2" width="7.59765625" style="1" customWidth="1"/>
    <col min="3" max="3" width="34.73046875" style="1" customWidth="1"/>
    <col min="4" max="4" width="21.265625" style="1" customWidth="1"/>
    <col min="5" max="5" width="20.3984375" style="1" customWidth="1"/>
    <col min="6" max="16384" width="9.1328125" style="1"/>
  </cols>
  <sheetData>
    <row r="1" spans="1:5" x14ac:dyDescent="0.55000000000000004">
      <c r="A1" s="15"/>
    </row>
    <row r="2" spans="1:5" ht="33" x14ac:dyDescent="1.1499999999999999">
      <c r="E2" s="134" t="s">
        <v>150</v>
      </c>
    </row>
    <row r="3" spans="1:5" ht="9" customHeight="1" x14ac:dyDescent="0.55000000000000004"/>
    <row r="4" spans="1:5" ht="25.5" customHeight="1" x14ac:dyDescent="0.8">
      <c r="E4" s="135" t="str">
        <f>_xlfn.CONCAT(APP_CODE," - ",NS_NAME)</f>
        <v>MDRCCxxx - name of National Society (Country of operation)</v>
      </c>
    </row>
    <row r="5" spans="1:5" ht="22.9" customHeight="1" x14ac:dyDescent="0.8">
      <c r="E5" s="135" t="str">
        <f>_xlfn.CONCAT(OPERATION)</f>
        <v>name of operation as published</v>
      </c>
    </row>
    <row r="6" spans="1:5" ht="19.149999999999999" customHeight="1" x14ac:dyDescent="0.8">
      <c r="E6" s="135"/>
    </row>
    <row r="7" spans="1:5" x14ac:dyDescent="0.55000000000000004">
      <c r="A7" s="165" t="s">
        <v>158</v>
      </c>
      <c r="D7" s="178"/>
      <c r="E7" s="178"/>
    </row>
    <row r="8" spans="1:5" s="91" customFormat="1" ht="15.6" customHeight="1" x14ac:dyDescent="0.55000000000000004">
      <c r="A8" s="118"/>
      <c r="E8" s="198" t="s">
        <v>159</v>
      </c>
    </row>
    <row r="9" spans="1:5" s="181" customFormat="1" ht="17.25" customHeight="1" x14ac:dyDescent="0.45">
      <c r="A9" s="179" t="s">
        <v>152</v>
      </c>
      <c r="B9" s="179"/>
      <c r="C9" s="179"/>
      <c r="D9" s="196">
        <f>+D10+D12+D14+D16+D20+D23+D27+D29+D32+D38+D40</f>
        <v>0</v>
      </c>
      <c r="E9" s="180">
        <f>+E10+E12+E14+E16+E20+E23+E27+E29+E32+E38+E40</f>
        <v>0</v>
      </c>
    </row>
    <row r="10" spans="1:5" s="2" customFormat="1" ht="13.5" customHeight="1" x14ac:dyDescent="0.45">
      <c r="A10" s="170" t="s">
        <v>26</v>
      </c>
      <c r="B10" s="182" t="s">
        <v>27</v>
      </c>
      <c r="C10" s="182"/>
      <c r="D10" s="193">
        <f>SUM(D11)</f>
        <v>0</v>
      </c>
      <c r="E10" s="183">
        <f>SUM(E11)</f>
        <v>0</v>
      </c>
    </row>
    <row r="11" spans="1:5" s="144" customFormat="1" ht="13.5" customHeight="1" x14ac:dyDescent="0.45">
      <c r="A11" s="184"/>
      <c r="B11" s="144" t="s">
        <v>23</v>
      </c>
      <c r="C11" s="144" t="s">
        <v>25</v>
      </c>
      <c r="D11" s="194">
        <f>SUMIFS(BUDGET[[#Headers],[#Data],[Total Cost CHF]],BUDGET[[#Headers],[#Data],[Output
Code]],B11)</f>
        <v>0</v>
      </c>
      <c r="E11" s="145">
        <f>ROUND(D11*106.5/100,2)</f>
        <v>0</v>
      </c>
    </row>
    <row r="12" spans="1:5" s="2" customFormat="1" ht="13.5" customHeight="1" x14ac:dyDescent="0.45">
      <c r="A12" s="170" t="s">
        <v>31</v>
      </c>
      <c r="B12" s="185" t="s">
        <v>32</v>
      </c>
      <c r="C12" s="185"/>
      <c r="D12" s="193">
        <f>SUM(D13)</f>
        <v>0</v>
      </c>
      <c r="E12" s="183">
        <f>SUM(E13)</f>
        <v>0</v>
      </c>
    </row>
    <row r="13" spans="1:5" s="144" customFormat="1" ht="13.5" customHeight="1" x14ac:dyDescent="0.45">
      <c r="A13" s="184"/>
      <c r="B13" s="144" t="s">
        <v>28</v>
      </c>
      <c r="C13" s="144" t="s">
        <v>30</v>
      </c>
      <c r="D13" s="194">
        <f>SUMIFS(BUDGET[[#Headers],[#Data],[Total Cost CHF]],BUDGET[[#Headers],[#Data],[Output
Code]],B13)</f>
        <v>0</v>
      </c>
      <c r="E13" s="145">
        <f>ROUND(D13*106.5/100,2)</f>
        <v>0</v>
      </c>
    </row>
    <row r="14" spans="1:5" s="2" customFormat="1" ht="13.5" customHeight="1" x14ac:dyDescent="0.45">
      <c r="A14" s="170" t="s">
        <v>37</v>
      </c>
      <c r="B14" s="185" t="s">
        <v>38</v>
      </c>
      <c r="C14" s="185"/>
      <c r="D14" s="193">
        <f>SUM(D15)</f>
        <v>0</v>
      </c>
      <c r="E14" s="183">
        <f>SUM(E15)</f>
        <v>0</v>
      </c>
    </row>
    <row r="15" spans="1:5" s="144" customFormat="1" ht="13.5" customHeight="1" x14ac:dyDescent="0.45">
      <c r="A15" s="184"/>
      <c r="B15" s="144" t="s">
        <v>33</v>
      </c>
      <c r="C15" s="144" t="s">
        <v>160</v>
      </c>
      <c r="D15" s="194">
        <f>SUMIFS(BUDGET[[#Headers],[#Data],[Total Cost CHF]],BUDGET[[#Headers],[#Data],[Output
Code]],B15)</f>
        <v>0</v>
      </c>
      <c r="E15" s="145">
        <f>ROUND(D15*106.5/100,2)</f>
        <v>0</v>
      </c>
    </row>
    <row r="16" spans="1:5" s="2" customFormat="1" ht="13.5" customHeight="1" x14ac:dyDescent="0.45">
      <c r="A16" s="170" t="s">
        <v>48</v>
      </c>
      <c r="B16" s="185" t="s">
        <v>49</v>
      </c>
      <c r="C16" s="185"/>
      <c r="D16" s="193">
        <f>SUM(D17:D19)</f>
        <v>0</v>
      </c>
      <c r="E16" s="183">
        <f>SUM(E17:E19)</f>
        <v>0</v>
      </c>
    </row>
    <row r="17" spans="1:5" s="144" customFormat="1" ht="13.5" customHeight="1" x14ac:dyDescent="0.45">
      <c r="A17" s="184"/>
      <c r="B17" s="144" t="s">
        <v>39</v>
      </c>
      <c r="C17" s="144" t="s">
        <v>41</v>
      </c>
      <c r="D17" s="194">
        <f>SUMIFS(BUDGET[[#Headers],[#Data],[Total Cost CHF]],BUDGET[[#Headers],[#Data],[Output
Code]],B17)</f>
        <v>0</v>
      </c>
      <c r="E17" s="145">
        <f>ROUND(D17*106.5/100,2)</f>
        <v>0</v>
      </c>
    </row>
    <row r="18" spans="1:5" s="144" customFormat="1" ht="13.5" customHeight="1" x14ac:dyDescent="0.45">
      <c r="A18" s="184"/>
      <c r="B18" s="144" t="s">
        <v>42</v>
      </c>
      <c r="C18" s="144" t="s">
        <v>44</v>
      </c>
      <c r="D18" s="194">
        <f>SUMIFS(BUDGET[[#Headers],[#Data],[Total Cost CHF]],BUDGET[[#Headers],[#Data],[Output
Code]],B18)</f>
        <v>0</v>
      </c>
      <c r="E18" s="145">
        <f>ROUND(D18*106.5/100,2)</f>
        <v>0</v>
      </c>
    </row>
    <row r="19" spans="1:5" s="144" customFormat="1" ht="13.5" customHeight="1" x14ac:dyDescent="0.45">
      <c r="A19" s="184"/>
      <c r="B19" s="144" t="s">
        <v>45</v>
      </c>
      <c r="C19" s="144" t="s">
        <v>47</v>
      </c>
      <c r="D19" s="194">
        <f>SUMIFS(BUDGET[[#Headers],[#Data],[Total Cost CHF]],BUDGET[[#Headers],[#Data],[Output
Code]],B19)</f>
        <v>0</v>
      </c>
      <c r="E19" s="145">
        <f>ROUND(D19*106.5/100,2)</f>
        <v>0</v>
      </c>
    </row>
    <row r="20" spans="1:5" s="2" customFormat="1" ht="13.5" customHeight="1" x14ac:dyDescent="0.45">
      <c r="A20" s="170" t="s">
        <v>56</v>
      </c>
      <c r="B20" s="185" t="s">
        <v>57</v>
      </c>
      <c r="C20" s="185"/>
      <c r="D20" s="193">
        <f>SUM(D21:D22)</f>
        <v>0</v>
      </c>
      <c r="E20" s="183">
        <f>SUM(E21:E22)</f>
        <v>0</v>
      </c>
    </row>
    <row r="21" spans="1:5" s="144" customFormat="1" ht="13.5" customHeight="1" x14ac:dyDescent="0.45">
      <c r="A21" s="184"/>
      <c r="B21" s="144" t="s">
        <v>50</v>
      </c>
      <c r="C21" s="144" t="s">
        <v>52</v>
      </c>
      <c r="D21" s="194">
        <f>SUMIFS(BUDGET[[#Headers],[#Data],[Total Cost CHF]],BUDGET[[#Headers],[#Data],[Output
Code]],B21)</f>
        <v>0</v>
      </c>
      <c r="E21" s="145">
        <f>ROUND(D21*106.5/100,2)</f>
        <v>0</v>
      </c>
    </row>
    <row r="22" spans="1:5" s="144" customFormat="1" ht="13.5" customHeight="1" x14ac:dyDescent="0.45">
      <c r="A22" s="184"/>
      <c r="B22" s="144" t="s">
        <v>53</v>
      </c>
      <c r="C22" s="144" t="s">
        <v>55</v>
      </c>
      <c r="D22" s="194">
        <f>SUMIFS(BUDGET[[#Headers],[#Data],[Total Cost CHF]],BUDGET[[#Headers],[#Data],[Output
Code]],B22)</f>
        <v>0</v>
      </c>
      <c r="E22" s="145">
        <f>ROUND(D22*106.5/100,2)</f>
        <v>0</v>
      </c>
    </row>
    <row r="23" spans="1:5" s="2" customFormat="1" ht="13.5" customHeight="1" x14ac:dyDescent="0.45">
      <c r="A23" s="170" t="s">
        <v>67</v>
      </c>
      <c r="B23" s="185" t="s">
        <v>68</v>
      </c>
      <c r="C23" s="185"/>
      <c r="D23" s="193">
        <f>SUM(D24:D26)</f>
        <v>0</v>
      </c>
      <c r="E23" s="183">
        <f>SUM(E24:E26)</f>
        <v>0</v>
      </c>
    </row>
    <row r="24" spans="1:5" s="144" customFormat="1" ht="13.5" customHeight="1" x14ac:dyDescent="0.45">
      <c r="A24" s="184"/>
      <c r="B24" s="144" t="s">
        <v>58</v>
      </c>
      <c r="C24" s="144" t="s">
        <v>60</v>
      </c>
      <c r="D24" s="194">
        <f>SUMIFS(BUDGET[[#Headers],[#Data],[Total Cost CHF]],BUDGET[[#Headers],[#Data],[Output
Code]],B24)</f>
        <v>0</v>
      </c>
      <c r="E24" s="145">
        <f>ROUND(D24*106.5/100,2)</f>
        <v>0</v>
      </c>
    </row>
    <row r="25" spans="1:5" s="144" customFormat="1" ht="13.5" customHeight="1" x14ac:dyDescent="0.45">
      <c r="A25" s="184"/>
      <c r="B25" s="144" t="s">
        <v>61</v>
      </c>
      <c r="C25" s="144" t="s">
        <v>63</v>
      </c>
      <c r="D25" s="194">
        <f>SUMIFS(BUDGET[[#Headers],[#Data],[Total Cost CHF]],BUDGET[[#Headers],[#Data],[Output
Code]],B25)</f>
        <v>0</v>
      </c>
      <c r="E25" s="145">
        <f>ROUND(D25*106.5/100,2)</f>
        <v>0</v>
      </c>
    </row>
    <row r="26" spans="1:5" s="144" customFormat="1" ht="13.5" customHeight="1" x14ac:dyDescent="0.45">
      <c r="A26" s="184"/>
      <c r="B26" s="144" t="s">
        <v>64</v>
      </c>
      <c r="C26" s="144" t="s">
        <v>66</v>
      </c>
      <c r="D26" s="194">
        <f>SUMIFS(BUDGET[[#Headers],[#Data],[Total Cost CHF]],BUDGET[[#Headers],[#Data],[Output
Code]],B26)</f>
        <v>0</v>
      </c>
      <c r="E26" s="145">
        <f>ROUND(D26*106.5/100,2)</f>
        <v>0</v>
      </c>
    </row>
    <row r="27" spans="1:5" s="2" customFormat="1" ht="13.5" customHeight="1" x14ac:dyDescent="0.45">
      <c r="A27" s="170" t="s">
        <v>72</v>
      </c>
      <c r="B27" s="185" t="s">
        <v>73</v>
      </c>
      <c r="C27" s="185"/>
      <c r="D27" s="193">
        <f>SUM(D28)</f>
        <v>0</v>
      </c>
      <c r="E27" s="183">
        <f>SUM(E28)</f>
        <v>0</v>
      </c>
    </row>
    <row r="28" spans="1:5" s="144" customFormat="1" ht="13.5" customHeight="1" x14ac:dyDescent="0.45">
      <c r="A28" s="184"/>
      <c r="B28" s="144" t="s">
        <v>69</v>
      </c>
      <c r="C28" s="144" t="s">
        <v>71</v>
      </c>
      <c r="D28" s="194">
        <f>SUMIFS(BUDGET[[#Headers],[#Data],[Total Cost CHF]],BUDGET[[#Headers],[#Data],[Output
Code]],B28)</f>
        <v>0</v>
      </c>
      <c r="E28" s="145">
        <f>ROUND(D28*106.5/100,2)</f>
        <v>0</v>
      </c>
    </row>
    <row r="29" spans="1:5" s="2" customFormat="1" ht="13.5" customHeight="1" x14ac:dyDescent="0.45">
      <c r="A29" s="170" t="s">
        <v>80</v>
      </c>
      <c r="B29" s="185" t="s">
        <v>81</v>
      </c>
      <c r="C29" s="185"/>
      <c r="D29" s="193">
        <f>SUM(D30:D31)</f>
        <v>0</v>
      </c>
      <c r="E29" s="183">
        <f>SUM(E30:E31)</f>
        <v>0</v>
      </c>
    </row>
    <row r="30" spans="1:5" s="144" customFormat="1" ht="13.5" customHeight="1" x14ac:dyDescent="0.45">
      <c r="A30" s="184"/>
      <c r="B30" s="144" t="s">
        <v>74</v>
      </c>
      <c r="C30" s="144" t="s">
        <v>76</v>
      </c>
      <c r="D30" s="194">
        <f>SUMIFS(BUDGET[[#Headers],[#Data],[Total Cost CHF]],BUDGET[[#Headers],[#Data],[Output
Code]],B30)</f>
        <v>0</v>
      </c>
      <c r="E30" s="145">
        <f>ROUND(D30*106.5/100,2)</f>
        <v>0</v>
      </c>
    </row>
    <row r="31" spans="1:5" s="144" customFormat="1" ht="13.5" customHeight="1" x14ac:dyDescent="0.45">
      <c r="A31" s="184"/>
      <c r="B31" s="144" t="s">
        <v>77</v>
      </c>
      <c r="C31" s="144" t="s">
        <v>79</v>
      </c>
      <c r="D31" s="194">
        <f>SUMIFS(BUDGET[[#Headers],[#Data],[Total Cost CHF]],BUDGET[[#Headers],[#Data],[Output
Code]],B31)</f>
        <v>0</v>
      </c>
      <c r="E31" s="145">
        <f>ROUND(D31*106.5/100,2)</f>
        <v>0</v>
      </c>
    </row>
    <row r="32" spans="1:5" s="2" customFormat="1" ht="16.5" customHeight="1" x14ac:dyDescent="0.45">
      <c r="A32" s="170" t="s">
        <v>97</v>
      </c>
      <c r="B32" s="185" t="s">
        <v>161</v>
      </c>
      <c r="C32" s="185"/>
      <c r="D32" s="193">
        <f>SUM(D33:D37)</f>
        <v>0</v>
      </c>
      <c r="E32" s="183">
        <f>SUM(E33:E37)</f>
        <v>0</v>
      </c>
    </row>
    <row r="33" spans="1:5" s="144" customFormat="1" ht="13.5" customHeight="1" x14ac:dyDescent="0.45">
      <c r="A33" s="184"/>
      <c r="B33" s="144" t="s">
        <v>82</v>
      </c>
      <c r="C33" s="144" t="s">
        <v>84</v>
      </c>
      <c r="D33" s="194">
        <f>SUMIFS(BUDGET[[#Headers],[#Data],[Total Cost CHF]],BUDGET[[#Headers],[#Data],[Output
Code]],B33)</f>
        <v>0</v>
      </c>
      <c r="E33" s="145">
        <f>ROUND(D33*106.5/100,2)</f>
        <v>0</v>
      </c>
    </row>
    <row r="34" spans="1:5" s="144" customFormat="1" ht="13.5" customHeight="1" x14ac:dyDescent="0.45">
      <c r="A34" s="184"/>
      <c r="B34" s="144" t="s">
        <v>85</v>
      </c>
      <c r="C34" s="144" t="s">
        <v>87</v>
      </c>
      <c r="D34" s="194">
        <f>SUMIFS(BUDGET[[#Headers],[#Data],[Total Cost CHF]],BUDGET[[#Headers],[#Data],[Output
Code]],B34)</f>
        <v>0</v>
      </c>
      <c r="E34" s="145">
        <f>ROUND(D34*106.5/100,2)</f>
        <v>0</v>
      </c>
    </row>
    <row r="35" spans="1:5" s="144" customFormat="1" ht="13.5" customHeight="1" x14ac:dyDescent="0.45">
      <c r="A35" s="184"/>
      <c r="B35" s="144" t="s">
        <v>88</v>
      </c>
      <c r="C35" s="144" t="s">
        <v>90</v>
      </c>
      <c r="D35" s="194">
        <f>SUMIFS(BUDGET[[#Headers],[#Data],[Total Cost CHF]],BUDGET[[#Headers],[#Data],[Output
Code]],B35)</f>
        <v>0</v>
      </c>
      <c r="E35" s="145">
        <f>ROUND(D35*106.5/100,2)</f>
        <v>0</v>
      </c>
    </row>
    <row r="36" spans="1:5" s="144" customFormat="1" ht="13.5" customHeight="1" x14ac:dyDescent="0.45">
      <c r="A36" s="184"/>
      <c r="B36" s="144" t="s">
        <v>91</v>
      </c>
      <c r="C36" s="144" t="s">
        <v>162</v>
      </c>
      <c r="D36" s="194">
        <f>SUMIFS(BUDGET[[#Headers],[#Data],[Total Cost CHF]],BUDGET[[#Headers],[#Data],[Output
Code]],B36)</f>
        <v>0</v>
      </c>
      <c r="E36" s="145">
        <f>ROUND(D36*106.5/100,2)</f>
        <v>0</v>
      </c>
    </row>
    <row r="37" spans="1:5" s="144" customFormat="1" ht="13.5" customHeight="1" x14ac:dyDescent="0.45">
      <c r="A37" s="184"/>
      <c r="B37" s="144" t="s">
        <v>94</v>
      </c>
      <c r="C37" s="144" t="s">
        <v>96</v>
      </c>
      <c r="D37" s="194">
        <f>SUMIFS(BUDGET[[#Headers],[#Data],[Total Cost CHF]],BUDGET[[#Headers],[#Data],[Output
Code]],B37)</f>
        <v>0</v>
      </c>
      <c r="E37" s="145">
        <f>ROUND(D37*106.5/100,2)</f>
        <v>0</v>
      </c>
    </row>
    <row r="38" spans="1:5" s="2" customFormat="1" ht="13.5" customHeight="1" x14ac:dyDescent="0.45">
      <c r="A38" s="170" t="s">
        <v>102</v>
      </c>
      <c r="B38" s="185" t="s">
        <v>163</v>
      </c>
      <c r="C38" s="185"/>
      <c r="D38" s="193">
        <f>SUM(D39)</f>
        <v>0</v>
      </c>
      <c r="E38" s="183">
        <f>SUM(E39)</f>
        <v>0</v>
      </c>
    </row>
    <row r="39" spans="1:5" s="144" customFormat="1" ht="13.5" customHeight="1" x14ac:dyDescent="0.45">
      <c r="A39" s="184"/>
      <c r="B39" s="144" t="s">
        <v>99</v>
      </c>
      <c r="C39" s="144" t="s">
        <v>101</v>
      </c>
      <c r="D39" s="194">
        <f>SUMIFS(BUDGET[[#Headers],[#Data],[Total Cost CHF]],BUDGET[[#Headers],[#Data],[Output
Code]],B39)</f>
        <v>0</v>
      </c>
      <c r="E39" s="145">
        <f>ROUND(D39*106.5/100,2)</f>
        <v>0</v>
      </c>
    </row>
    <row r="40" spans="1:5" s="2" customFormat="1" ht="13.5" customHeight="1" x14ac:dyDescent="0.45">
      <c r="A40" s="170" t="s">
        <v>107</v>
      </c>
      <c r="B40" s="185" t="s">
        <v>108</v>
      </c>
      <c r="C40" s="185"/>
      <c r="D40" s="193">
        <f>SUM(D41)</f>
        <v>0</v>
      </c>
      <c r="E40" s="183">
        <f>SUM(E41)</f>
        <v>0</v>
      </c>
    </row>
    <row r="41" spans="1:5" s="144" customFormat="1" ht="22.15" customHeight="1" x14ac:dyDescent="0.45">
      <c r="A41" s="184"/>
      <c r="B41" s="189" t="s">
        <v>104</v>
      </c>
      <c r="C41" s="189" t="s">
        <v>106</v>
      </c>
      <c r="D41" s="195">
        <f>SUMIFS(BUDGET[[#Headers],[#Data],[Total Cost CHF]],BUDGET[[#Headers],[#Data],[Output
Code]],B41)</f>
        <v>0</v>
      </c>
      <c r="E41" s="190">
        <f>ROUND(D41*106.5/100,2)</f>
        <v>0</v>
      </c>
    </row>
    <row r="42" spans="1:5" s="181" customFormat="1" ht="17.25" customHeight="1" x14ac:dyDescent="0.45">
      <c r="A42" s="179" t="s">
        <v>153</v>
      </c>
      <c r="B42" s="179"/>
      <c r="C42" s="179"/>
      <c r="D42" s="196">
        <f>+D43+D51+D53</f>
        <v>0</v>
      </c>
      <c r="E42" s="180">
        <f>+E43+E51+E53</f>
        <v>0</v>
      </c>
    </row>
    <row r="43" spans="1:5" s="2" customFormat="1" ht="13.5" customHeight="1" x14ac:dyDescent="0.45">
      <c r="A43" s="170" t="s">
        <v>130</v>
      </c>
      <c r="B43" s="185" t="s">
        <v>131</v>
      </c>
      <c r="C43" s="185"/>
      <c r="D43" s="193">
        <f>SUM(D44:D50)</f>
        <v>0</v>
      </c>
      <c r="E43" s="183">
        <f>SUM(E44:E50)</f>
        <v>0</v>
      </c>
    </row>
    <row r="44" spans="1:5" s="144" customFormat="1" ht="13.5" customHeight="1" x14ac:dyDescent="0.45">
      <c r="A44" s="184"/>
      <c r="B44" s="144" t="s">
        <v>109</v>
      </c>
      <c r="C44" s="144" t="s">
        <v>111</v>
      </c>
      <c r="D44" s="194">
        <f>SUMIFS(BUDGET[[#Headers],[#Data],[Total Cost CHF]],BUDGET[[#Headers],[#Data],[Output
Code]],B44)</f>
        <v>0</v>
      </c>
      <c r="E44" s="145">
        <f t="shared" ref="E44:E50" si="0">ROUND(D44*106.5/100,2)</f>
        <v>0</v>
      </c>
    </row>
    <row r="45" spans="1:5" s="144" customFormat="1" ht="13.5" customHeight="1" x14ac:dyDescent="0.45">
      <c r="A45" s="184"/>
      <c r="B45" s="144" t="s">
        <v>112</v>
      </c>
      <c r="C45" s="144" t="s">
        <v>114</v>
      </c>
      <c r="D45" s="194">
        <f>SUMIFS(BUDGET[[#Headers],[#Data],[Total Cost CHF]],BUDGET[[#Headers],[#Data],[Output
Code]],B45)</f>
        <v>0</v>
      </c>
      <c r="E45" s="145">
        <f t="shared" si="0"/>
        <v>0</v>
      </c>
    </row>
    <row r="46" spans="1:5" s="144" customFormat="1" ht="13.5" customHeight="1" x14ac:dyDescent="0.45">
      <c r="A46" s="184"/>
      <c r="B46" s="144" t="s">
        <v>115</v>
      </c>
      <c r="C46" s="144" t="s">
        <v>117</v>
      </c>
      <c r="D46" s="194">
        <f>SUMIFS(BUDGET[[#Headers],[#Data],[Total Cost CHF]],BUDGET[[#Headers],[#Data],[Output
Code]],B46)</f>
        <v>0</v>
      </c>
      <c r="E46" s="145">
        <f t="shared" si="0"/>
        <v>0</v>
      </c>
    </row>
    <row r="47" spans="1:5" s="144" customFormat="1" ht="13.5" customHeight="1" x14ac:dyDescent="0.45">
      <c r="A47" s="184"/>
      <c r="B47" s="144" t="s">
        <v>118</v>
      </c>
      <c r="C47" s="144" t="s">
        <v>120</v>
      </c>
      <c r="D47" s="194">
        <f>SUMIFS(BUDGET[[#Headers],[#Data],[Total Cost CHF]],BUDGET[[#Headers],[#Data],[Output
Code]],B47)</f>
        <v>0</v>
      </c>
      <c r="E47" s="145">
        <f t="shared" si="0"/>
        <v>0</v>
      </c>
    </row>
    <row r="48" spans="1:5" s="144" customFormat="1" ht="13.5" customHeight="1" x14ac:dyDescent="0.45">
      <c r="A48" s="184"/>
      <c r="B48" s="144" t="s">
        <v>121</v>
      </c>
      <c r="C48" s="144" t="s">
        <v>123</v>
      </c>
      <c r="D48" s="194">
        <f>SUMIFS(BUDGET[[#Headers],[#Data],[Total Cost CHF]],BUDGET[[#Headers],[#Data],[Output
Code]],B48)</f>
        <v>0</v>
      </c>
      <c r="E48" s="145">
        <f t="shared" si="0"/>
        <v>0</v>
      </c>
    </row>
    <row r="49" spans="1:9" s="144" customFormat="1" ht="13.5" customHeight="1" x14ac:dyDescent="0.45">
      <c r="A49" s="184"/>
      <c r="B49" s="144" t="s">
        <v>124</v>
      </c>
      <c r="C49" s="144" t="s">
        <v>126</v>
      </c>
      <c r="D49" s="194">
        <f>SUMIFS(BUDGET[[#Headers],[#Data],[Total Cost CHF]],BUDGET[[#Headers],[#Data],[Output
Code]],B49)</f>
        <v>0</v>
      </c>
      <c r="E49" s="145">
        <f t="shared" si="0"/>
        <v>0</v>
      </c>
    </row>
    <row r="50" spans="1:9" s="144" customFormat="1" ht="13.5" customHeight="1" x14ac:dyDescent="0.45">
      <c r="A50" s="184"/>
      <c r="B50" s="144" t="s">
        <v>127</v>
      </c>
      <c r="C50" s="144" t="s">
        <v>129</v>
      </c>
      <c r="D50" s="194">
        <f>SUMIFS(BUDGET[[#Headers],[#Data],[Total Cost CHF]],BUDGET[[#Headers],[#Data],[Output
Code]],B50)</f>
        <v>0</v>
      </c>
      <c r="E50" s="145">
        <f t="shared" si="0"/>
        <v>0</v>
      </c>
    </row>
    <row r="51" spans="1:9" s="2" customFormat="1" ht="13.5" customHeight="1" x14ac:dyDescent="0.45">
      <c r="A51" s="170" t="s">
        <v>135</v>
      </c>
      <c r="B51" s="185" t="s">
        <v>136</v>
      </c>
      <c r="C51" s="185"/>
      <c r="D51" s="193">
        <f>SUM(D52)</f>
        <v>0</v>
      </c>
      <c r="E51" s="183">
        <f>SUM(E52)</f>
        <v>0</v>
      </c>
    </row>
    <row r="52" spans="1:9" s="144" customFormat="1" ht="13.5" customHeight="1" x14ac:dyDescent="0.45">
      <c r="A52" s="184"/>
      <c r="B52" s="144" t="s">
        <v>132</v>
      </c>
      <c r="C52" s="144" t="s">
        <v>134</v>
      </c>
      <c r="D52" s="194">
        <f>SUMIFS(BUDGET[[#Headers],[#Data],[Total Cost CHF]],BUDGET[[#Headers],[#Data],[Output
Code]],B52)</f>
        <v>0</v>
      </c>
      <c r="E52" s="145">
        <f>ROUND(D52*106.5/100,2)</f>
        <v>0</v>
      </c>
    </row>
    <row r="53" spans="1:9" s="2" customFormat="1" ht="13.5" customHeight="1" x14ac:dyDescent="0.45">
      <c r="A53" s="170" t="s">
        <v>146</v>
      </c>
      <c r="B53" s="185" t="s">
        <v>154</v>
      </c>
      <c r="C53" s="185"/>
      <c r="D53" s="193">
        <f>SUM(D54:D56)</f>
        <v>0</v>
      </c>
      <c r="E53" s="183">
        <f>SUM(E54:E56)</f>
        <v>0</v>
      </c>
    </row>
    <row r="54" spans="1:9" s="144" customFormat="1" ht="13.5" customHeight="1" x14ac:dyDescent="0.45">
      <c r="A54" s="184"/>
      <c r="B54" s="144" t="s">
        <v>137</v>
      </c>
      <c r="C54" s="144" t="s">
        <v>139</v>
      </c>
      <c r="D54" s="194">
        <f>SUMIFS(BUDGET[[#Headers],[#Data],[Total Cost CHF]],BUDGET[[#Headers],[#Data],[Output
Code]],B54)</f>
        <v>0</v>
      </c>
      <c r="E54" s="145">
        <f>ROUND(D54*106.5/100,2)</f>
        <v>0</v>
      </c>
    </row>
    <row r="55" spans="1:9" s="144" customFormat="1" ht="13.5" customHeight="1" x14ac:dyDescent="0.45">
      <c r="A55" s="184"/>
      <c r="B55" s="144" t="s">
        <v>140</v>
      </c>
      <c r="C55" s="144" t="s">
        <v>142</v>
      </c>
      <c r="D55" s="194">
        <f>SUMIFS(BUDGET[[#Headers],[#Data],[Total Cost CHF]],BUDGET[[#Headers],[#Data],[Output
Code]],B55)</f>
        <v>0</v>
      </c>
      <c r="E55" s="145">
        <f>ROUND(D55*106.5/100,2)</f>
        <v>0</v>
      </c>
    </row>
    <row r="56" spans="1:9" s="144" customFormat="1" ht="13.5" customHeight="1" x14ac:dyDescent="0.55000000000000004">
      <c r="A56" s="184"/>
      <c r="B56" s="144" t="s">
        <v>143</v>
      </c>
      <c r="C56" s="144" t="s">
        <v>145</v>
      </c>
      <c r="D56" s="194">
        <f>SUMIFS(BUDGET[[#Headers],[#Data],[Total Cost CHF]],BUDGET[[#Headers],[#Data],[Output
Code]],B56)</f>
        <v>0</v>
      </c>
      <c r="E56" s="145">
        <f>ROUND(D56*106.5/100,2)</f>
        <v>0</v>
      </c>
      <c r="H56" s="172" t="s">
        <v>155</v>
      </c>
      <c r="I56" s="173"/>
    </row>
    <row r="57" spans="1:9" s="2" customFormat="1" ht="23.65" x14ac:dyDescent="0.55000000000000004">
      <c r="A57" s="186"/>
      <c r="B57" s="186" t="s">
        <v>149</v>
      </c>
      <c r="C57" s="186"/>
      <c r="D57" s="197">
        <f>+D42+D9</f>
        <v>0</v>
      </c>
      <c r="E57" s="187">
        <f>+E42+E9</f>
        <v>0</v>
      </c>
      <c r="H57" s="176">
        <f>+budget_tool!H219</f>
        <v>0</v>
      </c>
      <c r="I57" s="176">
        <f>+E57-H57</f>
        <v>0</v>
      </c>
    </row>
    <row r="58" spans="1:9" s="2" customFormat="1" ht="15" customHeight="1" x14ac:dyDescent="0.45">
      <c r="A58" s="188" t="s">
        <v>157</v>
      </c>
    </row>
  </sheetData>
  <sheetProtection algorithmName="SHA-512" hashValue="sVtTMObcIk2JkK2oRqQCFbVN667AGmXMs4fWdVI/a4vHVIjH5T8xdr374bLwxmNRyO0HX4VhmXZQUhc9NmU1HA==" saltValue="qcF6dpJFycWSZU1vnhNGcw==" spinCount="100000" sheet="1" objects="1" scenarios="1"/>
  <autoFilter ref="B8:E57" xr:uid="{39ED3F59-6352-4A75-B756-0C16B0B8168A}"/>
  <printOptions horizontalCentered="1"/>
  <pageMargins left="0.39370078740157483" right="0.35433070866141736" top="0.35433070866141736" bottom="0.74803149606299213" header="0.31496062992125984" footer="0.31496062992125984"/>
  <pageSetup paperSize="9" orientation="portrait" r:id="rId1"/>
  <headerFooter>
    <oddFooter>&amp;C&amp;K00-049&amp;D&amp;R&amp;K00-049V2022.01&amp;L&amp;1#&amp;"Calibri"&amp;10&amp;K000000Internal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F8071-36F1-434D-9FEC-20A1A73896FC}">
  <sheetPr codeName="Sheet3">
    <tabColor rgb="FF011E41"/>
  </sheetPr>
  <dimension ref="A1:I62"/>
  <sheetViews>
    <sheetView showGridLines="0" view="pageBreakPreview" topLeftCell="B1" zoomScaleNormal="100" zoomScaleSheetLayoutView="100" workbookViewId="0">
      <selection activeCell="E15" sqref="E15"/>
    </sheetView>
  </sheetViews>
  <sheetFormatPr defaultColWidth="14.3984375" defaultRowHeight="15.75" x14ac:dyDescent="0.55000000000000004"/>
  <cols>
    <col min="1" max="1" width="0" style="1" hidden="1" customWidth="1"/>
    <col min="2" max="2" width="31.59765625" style="1" customWidth="1"/>
    <col min="3" max="3" width="17.3984375" style="1" customWidth="1"/>
    <col min="4" max="4" width="18.1328125" style="1" customWidth="1"/>
    <col min="5" max="5" width="19.86328125" style="1" customWidth="1"/>
    <col min="6" max="16384" width="14.3984375" style="1"/>
  </cols>
  <sheetData>
    <row r="1" spans="1:8" x14ac:dyDescent="0.55000000000000004">
      <c r="A1" s="15"/>
    </row>
    <row r="2" spans="1:8" ht="33" x14ac:dyDescent="1.1499999999999999">
      <c r="E2" s="134" t="s">
        <v>150</v>
      </c>
    </row>
    <row r="3" spans="1:8" ht="9.75" customHeight="1" x14ac:dyDescent="0.55000000000000004"/>
    <row r="4" spans="1:8" ht="25.5" customHeight="1" x14ac:dyDescent="0.8">
      <c r="E4" s="135" t="str">
        <f>_xlfn.CONCAT(APP_CODE," - ",NS_NAME)</f>
        <v>MDRCCxxx - name of National Society (Country of operation)</v>
      </c>
    </row>
    <row r="5" spans="1:8" ht="22.15" x14ac:dyDescent="0.8">
      <c r="E5" s="135" t="str">
        <f>_xlfn.CONCAT(OPERATION)</f>
        <v>name of operation as published</v>
      </c>
    </row>
    <row r="6" spans="1:8" ht="7.15" customHeight="1" x14ac:dyDescent="0.8">
      <c r="E6" s="135"/>
    </row>
    <row r="7" spans="1:8" s="3" customFormat="1" ht="13.5" x14ac:dyDescent="0.5">
      <c r="B7" s="3" t="s">
        <v>164</v>
      </c>
      <c r="E7" s="136" t="s">
        <v>165</v>
      </c>
      <c r="H7" s="4" t="s">
        <v>166</v>
      </c>
    </row>
    <row r="8" spans="1:8" x14ac:dyDescent="0.55000000000000004">
      <c r="A8" s="133"/>
      <c r="B8" s="137" t="s">
        <v>167</v>
      </c>
      <c r="C8" s="138"/>
      <c r="D8" s="138"/>
      <c r="E8" s="139">
        <f>SUM(E9:E23)</f>
        <v>0</v>
      </c>
    </row>
    <row r="9" spans="1:8" ht="14.25" customHeight="1" x14ac:dyDescent="0.55000000000000004">
      <c r="A9" s="140">
        <v>500</v>
      </c>
      <c r="B9" s="141" t="s">
        <v>168</v>
      </c>
      <c r="C9" s="141"/>
      <c r="D9" s="141"/>
      <c r="E9" s="142">
        <f>SUMIFS(BUDGET[Total Cost CHF],BUDGET[Budget
Group],A9)</f>
        <v>0</v>
      </c>
    </row>
    <row r="10" spans="1:8" ht="14.25" customHeight="1" x14ac:dyDescent="0.55000000000000004">
      <c r="A10" s="140">
        <v>501</v>
      </c>
      <c r="B10" s="141" t="s">
        <v>169</v>
      </c>
      <c r="C10" s="141"/>
      <c r="D10" s="141"/>
      <c r="E10" s="142">
        <f>SUMIFS(BUDGET[Total Cost CHF],BUDGET[Budget
Group],A10)</f>
        <v>0</v>
      </c>
    </row>
    <row r="11" spans="1:8" ht="14.25" customHeight="1" x14ac:dyDescent="0.55000000000000004">
      <c r="A11" s="140">
        <v>502</v>
      </c>
      <c r="B11" s="141" t="s">
        <v>170</v>
      </c>
      <c r="C11" s="141"/>
      <c r="D11" s="141"/>
      <c r="E11" s="142">
        <f>SUMIFS(BUDGET[Total Cost CHF],BUDGET[Budget
Group],A11)</f>
        <v>0</v>
      </c>
    </row>
    <row r="12" spans="1:8" ht="14.25" customHeight="1" x14ac:dyDescent="0.55000000000000004">
      <c r="A12" s="140">
        <v>503</v>
      </c>
      <c r="B12" s="141" t="s">
        <v>171</v>
      </c>
      <c r="C12" s="141"/>
      <c r="D12" s="141"/>
      <c r="E12" s="142">
        <f>SUMIFS(BUDGET[Total Cost CHF],BUDGET[Budget
Group],A12)</f>
        <v>0</v>
      </c>
    </row>
    <row r="13" spans="1:8" ht="14.25" customHeight="1" x14ac:dyDescent="0.55000000000000004">
      <c r="A13" s="140">
        <v>505</v>
      </c>
      <c r="B13" s="141" t="s">
        <v>172</v>
      </c>
      <c r="C13" s="141"/>
      <c r="D13" s="141"/>
      <c r="E13" s="142">
        <f>SUMIFS(BUDGET[Total Cost CHF],BUDGET[Budget
Group],A13)</f>
        <v>0</v>
      </c>
    </row>
    <row r="14" spans="1:8" ht="14.25" customHeight="1" x14ac:dyDescent="0.55000000000000004">
      <c r="A14" s="140">
        <v>510</v>
      </c>
      <c r="B14" s="141" t="s">
        <v>173</v>
      </c>
      <c r="C14" s="141"/>
      <c r="D14" s="141"/>
      <c r="E14" s="142">
        <f>SUMIFS(BUDGET[Total Cost CHF],BUDGET[Budget
Group],A14)</f>
        <v>0</v>
      </c>
    </row>
    <row r="15" spans="1:8" ht="14.25" customHeight="1" x14ac:dyDescent="0.55000000000000004">
      <c r="A15" s="140">
        <v>520</v>
      </c>
      <c r="B15" s="141" t="s">
        <v>174</v>
      </c>
      <c r="C15" s="141"/>
      <c r="D15" s="141"/>
      <c r="E15" s="142">
        <f>SUMIFS(BUDGET[Total Cost CHF],BUDGET[Budget
Group],A15)</f>
        <v>0</v>
      </c>
    </row>
    <row r="16" spans="1:8" ht="14.25" customHeight="1" x14ac:dyDescent="0.55000000000000004">
      <c r="A16" s="140">
        <v>523</v>
      </c>
      <c r="B16" s="141" t="s">
        <v>175</v>
      </c>
      <c r="C16" s="141"/>
      <c r="D16" s="141"/>
      <c r="E16" s="142">
        <f>SUMIFS(BUDGET[Total Cost CHF],BUDGET[Budget
Group],A16)</f>
        <v>0</v>
      </c>
    </row>
    <row r="17" spans="1:5" ht="14.25" customHeight="1" x14ac:dyDescent="0.55000000000000004">
      <c r="A17" s="140">
        <v>530</v>
      </c>
      <c r="B17" s="141" t="s">
        <v>57</v>
      </c>
      <c r="C17" s="141"/>
      <c r="D17" s="141"/>
      <c r="E17" s="142">
        <f>SUMIFS(BUDGET[Total Cost CHF],BUDGET[Budget
Group],A17)</f>
        <v>0</v>
      </c>
    </row>
    <row r="18" spans="1:5" ht="14.25" customHeight="1" x14ac:dyDescent="0.55000000000000004">
      <c r="A18" s="140">
        <v>540</v>
      </c>
      <c r="B18" s="141" t="s">
        <v>176</v>
      </c>
      <c r="C18" s="141"/>
      <c r="D18" s="141"/>
      <c r="E18" s="142">
        <f>SUMIFS(BUDGET[Total Cost CHF],BUDGET[Budget
Group],A18)</f>
        <v>0</v>
      </c>
    </row>
    <row r="19" spans="1:5" ht="14.25" customHeight="1" x14ac:dyDescent="0.55000000000000004">
      <c r="A19" s="140">
        <v>550</v>
      </c>
      <c r="B19" s="141" t="s">
        <v>177</v>
      </c>
      <c r="C19" s="141"/>
      <c r="D19" s="141"/>
      <c r="E19" s="142">
        <f>SUMIFS(BUDGET[Total Cost CHF],BUDGET[Budget
Group],A19)</f>
        <v>0</v>
      </c>
    </row>
    <row r="20" spans="1:5" ht="14.25" customHeight="1" x14ac:dyDescent="0.55000000000000004">
      <c r="A20" s="140">
        <v>560</v>
      </c>
      <c r="B20" s="141" t="s">
        <v>178</v>
      </c>
      <c r="C20" s="141"/>
      <c r="D20" s="141"/>
      <c r="E20" s="142">
        <f>SUMIFS(BUDGET[Total Cost CHF],BUDGET[Budget
Group],A20)</f>
        <v>0</v>
      </c>
    </row>
    <row r="21" spans="1:5" ht="14.25" customHeight="1" x14ac:dyDescent="0.55000000000000004">
      <c r="A21" s="140">
        <v>570</v>
      </c>
      <c r="B21" s="141" t="s">
        <v>179</v>
      </c>
      <c r="C21" s="141"/>
      <c r="D21" s="141"/>
      <c r="E21" s="142">
        <f>SUMIFS(BUDGET[Total Cost CHF],BUDGET[Budget
Group],A21)</f>
        <v>0</v>
      </c>
    </row>
    <row r="22" spans="1:5" ht="14.25" customHeight="1" x14ac:dyDescent="0.55000000000000004">
      <c r="A22" s="140">
        <v>571</v>
      </c>
      <c r="B22" s="141" t="s">
        <v>180</v>
      </c>
      <c r="C22" s="141"/>
      <c r="D22" s="141"/>
      <c r="E22" s="142">
        <f>SUMIFS(BUDGET[Total Cost CHF],BUDGET[Budget
Group],A22)</f>
        <v>0</v>
      </c>
    </row>
    <row r="23" spans="1:5" ht="14.25" customHeight="1" x14ac:dyDescent="0.55000000000000004">
      <c r="A23" s="140">
        <v>578</v>
      </c>
      <c r="B23" s="141" t="s">
        <v>181</v>
      </c>
      <c r="C23" s="141"/>
      <c r="D23" s="141"/>
      <c r="E23" s="142">
        <f>SUMIFS(BUDGET[Total Cost CHF],BUDGET[Budget
Group],A23)</f>
        <v>0</v>
      </c>
    </row>
    <row r="24" spans="1:5" x14ac:dyDescent="0.55000000000000004">
      <c r="A24" s="133"/>
      <c r="B24" s="137" t="s">
        <v>182</v>
      </c>
      <c r="C24" s="138"/>
      <c r="D24" s="138"/>
      <c r="E24" s="139">
        <f>SUM(E25:E30)</f>
        <v>0</v>
      </c>
    </row>
    <row r="25" spans="1:5" ht="15" customHeight="1" x14ac:dyDescent="0.55000000000000004">
      <c r="A25" s="140">
        <v>580</v>
      </c>
      <c r="B25" s="141" t="s">
        <v>183</v>
      </c>
      <c r="C25" s="141"/>
      <c r="D25" s="141"/>
      <c r="E25" s="142">
        <f>SUMIFS(BUDGET[Total Cost CHF],BUDGET[Budget
Group],A25)</f>
        <v>0</v>
      </c>
    </row>
    <row r="26" spans="1:5" ht="15" customHeight="1" x14ac:dyDescent="0.55000000000000004">
      <c r="A26" s="140">
        <v>581</v>
      </c>
      <c r="B26" s="141" t="s">
        <v>184</v>
      </c>
      <c r="C26" s="141"/>
      <c r="D26" s="141"/>
      <c r="E26" s="142">
        <f>SUMIFS(BUDGET[Total Cost CHF],BUDGET[Budget
Group],A26)</f>
        <v>0</v>
      </c>
    </row>
    <row r="27" spans="1:5" ht="15" customHeight="1" x14ac:dyDescent="0.55000000000000004">
      <c r="A27" s="140">
        <v>582</v>
      </c>
      <c r="B27" s="141" t="s">
        <v>185</v>
      </c>
      <c r="C27" s="141"/>
      <c r="D27" s="141"/>
      <c r="E27" s="142">
        <f>SUMIFS(BUDGET[Total Cost CHF],BUDGET[Budget
Group],A27)</f>
        <v>0</v>
      </c>
    </row>
    <row r="28" spans="1:5" ht="15" customHeight="1" x14ac:dyDescent="0.55000000000000004">
      <c r="A28" s="140">
        <v>584</v>
      </c>
      <c r="B28" s="141" t="s">
        <v>186</v>
      </c>
      <c r="C28" s="141"/>
      <c r="D28" s="141"/>
      <c r="E28" s="142">
        <f>SUMIFS(BUDGET[Total Cost CHF],BUDGET[Budget
Group],A28)</f>
        <v>0</v>
      </c>
    </row>
    <row r="29" spans="1:5" ht="15" customHeight="1" x14ac:dyDescent="0.55000000000000004">
      <c r="A29" s="140">
        <v>587</v>
      </c>
      <c r="B29" s="141" t="s">
        <v>187</v>
      </c>
      <c r="C29" s="141"/>
      <c r="D29" s="141"/>
      <c r="E29" s="142">
        <f>SUMIFS(BUDGET[Total Cost CHF],BUDGET[Budget
Group],A29)</f>
        <v>0</v>
      </c>
    </row>
    <row r="30" spans="1:5" ht="15" customHeight="1" x14ac:dyDescent="0.55000000000000004">
      <c r="A30" s="140">
        <v>589</v>
      </c>
      <c r="B30" s="141" t="s">
        <v>188</v>
      </c>
      <c r="C30" s="141"/>
      <c r="D30" s="141"/>
      <c r="E30" s="142">
        <f>SUMIFS(BUDGET[Total Cost CHF],BUDGET[Budget
Group],A30)</f>
        <v>0</v>
      </c>
    </row>
    <row r="31" spans="1:5" x14ac:dyDescent="0.55000000000000004">
      <c r="A31" s="133"/>
      <c r="B31" s="137" t="s">
        <v>189</v>
      </c>
      <c r="C31" s="138"/>
      <c r="D31" s="138"/>
      <c r="E31" s="139">
        <f>SUM(E32:E35)</f>
        <v>0</v>
      </c>
    </row>
    <row r="32" spans="1:5" ht="14.25" customHeight="1" x14ac:dyDescent="0.55000000000000004">
      <c r="A32" s="140">
        <v>590</v>
      </c>
      <c r="B32" s="141" t="s">
        <v>190</v>
      </c>
      <c r="C32" s="141"/>
      <c r="D32" s="141"/>
      <c r="E32" s="142">
        <f>SUMIFS(BUDGET[Total Cost CHF],BUDGET[Budget
Group],A32)</f>
        <v>0</v>
      </c>
    </row>
    <row r="33" spans="1:5" ht="14.25" customHeight="1" x14ac:dyDescent="0.55000000000000004">
      <c r="A33" s="140">
        <v>592</v>
      </c>
      <c r="B33" s="141" t="s">
        <v>191</v>
      </c>
      <c r="C33" s="141"/>
      <c r="D33" s="141"/>
      <c r="E33" s="142">
        <f>SUMIFS(BUDGET[Total Cost CHF],BUDGET[Budget
Group],A33)</f>
        <v>0</v>
      </c>
    </row>
    <row r="34" spans="1:5" ht="14.25" customHeight="1" x14ac:dyDescent="0.55000000000000004">
      <c r="A34" s="140">
        <v>593</v>
      </c>
      <c r="B34" s="141" t="s">
        <v>192</v>
      </c>
      <c r="C34" s="141"/>
      <c r="D34" s="141"/>
      <c r="E34" s="142">
        <f>SUMIFS(BUDGET[Total Cost CHF],BUDGET[Budget
Group],A34)</f>
        <v>0</v>
      </c>
    </row>
    <row r="35" spans="1:5" ht="14.25" customHeight="1" x14ac:dyDescent="0.55000000000000004">
      <c r="A35" s="140">
        <v>594</v>
      </c>
      <c r="B35" s="141" t="s">
        <v>193</v>
      </c>
      <c r="C35" s="141"/>
      <c r="D35" s="141"/>
      <c r="E35" s="142">
        <f>SUMIFS(BUDGET[Total Cost CHF],BUDGET[Budget
Group],A35)</f>
        <v>0</v>
      </c>
    </row>
    <row r="36" spans="1:5" x14ac:dyDescent="0.55000000000000004">
      <c r="A36" s="133"/>
      <c r="B36" s="137" t="s">
        <v>194</v>
      </c>
      <c r="C36" s="138"/>
      <c r="D36" s="138"/>
      <c r="E36" s="139">
        <f>SUM(E37:E40)</f>
        <v>0</v>
      </c>
    </row>
    <row r="37" spans="1:5" ht="15" customHeight="1" x14ac:dyDescent="0.55000000000000004">
      <c r="A37" s="140">
        <v>600</v>
      </c>
      <c r="B37" s="141" t="s">
        <v>195</v>
      </c>
      <c r="C37" s="141"/>
      <c r="D37" s="141"/>
      <c r="E37" s="142">
        <f>SUMIFS(BUDGET[Total Cost CHF],BUDGET[Budget
Group],A37)</f>
        <v>0</v>
      </c>
    </row>
    <row r="38" spans="1:5" ht="15" customHeight="1" x14ac:dyDescent="0.55000000000000004">
      <c r="A38" s="140">
        <v>661</v>
      </c>
      <c r="B38" s="141" t="s">
        <v>196</v>
      </c>
      <c r="C38" s="141"/>
      <c r="D38" s="141"/>
      <c r="E38" s="142">
        <f>SUMIFS(BUDGET[Total Cost CHF],BUDGET[Budget
Group],A38)</f>
        <v>0</v>
      </c>
    </row>
    <row r="39" spans="1:5" ht="15" customHeight="1" x14ac:dyDescent="0.55000000000000004">
      <c r="A39" s="140">
        <v>662</v>
      </c>
      <c r="B39" s="141" t="s">
        <v>197</v>
      </c>
      <c r="C39" s="141"/>
      <c r="D39" s="141"/>
      <c r="E39" s="142">
        <f>SUMIFS(BUDGET[Total Cost CHF],BUDGET[Budget
Group],A39)</f>
        <v>0</v>
      </c>
    </row>
    <row r="40" spans="1:5" ht="15" customHeight="1" x14ac:dyDescent="0.55000000000000004">
      <c r="A40" s="140">
        <v>667</v>
      </c>
      <c r="B40" s="141" t="s">
        <v>198</v>
      </c>
      <c r="C40" s="141"/>
      <c r="D40" s="141"/>
      <c r="E40" s="142">
        <f>SUMIFS(BUDGET[Total Cost CHF],BUDGET[Budget
Group],A40)</f>
        <v>0</v>
      </c>
    </row>
    <row r="41" spans="1:5" x14ac:dyDescent="0.55000000000000004">
      <c r="A41" s="133"/>
      <c r="B41" s="137" t="s">
        <v>199</v>
      </c>
      <c r="C41" s="138"/>
      <c r="D41" s="138"/>
      <c r="E41" s="139">
        <f>SUM(E42:E43)</f>
        <v>0</v>
      </c>
    </row>
    <row r="42" spans="1:5" ht="14.25" customHeight="1" x14ac:dyDescent="0.55000000000000004">
      <c r="A42" s="140">
        <v>670</v>
      </c>
      <c r="B42" s="141" t="s">
        <v>200</v>
      </c>
      <c r="C42" s="141"/>
      <c r="D42" s="141"/>
      <c r="E42" s="142">
        <f>SUMIFS(BUDGET[Total Cost CHF],BUDGET[Budget
Group],A42)</f>
        <v>0</v>
      </c>
    </row>
    <row r="43" spans="1:5" ht="14.25" customHeight="1" x14ac:dyDescent="0.55000000000000004">
      <c r="A43" s="140">
        <v>750</v>
      </c>
      <c r="B43" s="141" t="s">
        <v>201</v>
      </c>
      <c r="C43" s="141"/>
      <c r="D43" s="141"/>
      <c r="E43" s="142">
        <f>SUMIFS(BUDGET[Total Cost CHF],BUDGET[Budget
Group],A43)</f>
        <v>0</v>
      </c>
    </row>
    <row r="44" spans="1:5" x14ac:dyDescent="0.55000000000000004">
      <c r="A44" s="133"/>
      <c r="B44" s="137" t="s">
        <v>202</v>
      </c>
      <c r="C44" s="138"/>
      <c r="D44" s="138"/>
      <c r="E44" s="139">
        <f>SUM(E45)</f>
        <v>0</v>
      </c>
    </row>
    <row r="45" spans="1:5" ht="14.25" customHeight="1" x14ac:dyDescent="0.55000000000000004">
      <c r="A45" s="140">
        <v>680</v>
      </c>
      <c r="B45" s="141" t="s">
        <v>203</v>
      </c>
      <c r="C45" s="141"/>
      <c r="D45" s="141"/>
      <c r="E45" s="142">
        <f>SUMIFS(BUDGET[Total Cost CHF],BUDGET[Budget
Group],A45)</f>
        <v>0</v>
      </c>
    </row>
    <row r="46" spans="1:5" x14ac:dyDescent="0.55000000000000004">
      <c r="A46" s="133"/>
      <c r="B46" s="137" t="s">
        <v>204</v>
      </c>
      <c r="C46" s="138"/>
      <c r="D46" s="138"/>
      <c r="E46" s="139">
        <f>SUM(E47:E53)</f>
        <v>0</v>
      </c>
    </row>
    <row r="47" spans="1:5" ht="14.25" customHeight="1" x14ac:dyDescent="0.55000000000000004">
      <c r="A47" s="140">
        <v>700</v>
      </c>
      <c r="B47" s="141" t="s">
        <v>205</v>
      </c>
      <c r="C47" s="141"/>
      <c r="D47" s="141"/>
      <c r="E47" s="142">
        <f>SUMIFS(BUDGET[Total Cost CHF],BUDGET[Budget
Group],A47)</f>
        <v>0</v>
      </c>
    </row>
    <row r="48" spans="1:5" ht="14.25" customHeight="1" x14ac:dyDescent="0.55000000000000004">
      <c r="A48" s="140">
        <v>710</v>
      </c>
      <c r="B48" s="141" t="s">
        <v>206</v>
      </c>
      <c r="C48" s="141"/>
      <c r="D48" s="141"/>
      <c r="E48" s="142">
        <f>SUMIFS(BUDGET[Total Cost CHF],BUDGET[Budget
Group],A48)</f>
        <v>0</v>
      </c>
    </row>
    <row r="49" spans="1:9" ht="14.25" customHeight="1" x14ac:dyDescent="0.55000000000000004">
      <c r="A49" s="140">
        <v>730</v>
      </c>
      <c r="B49" s="141" t="s">
        <v>207</v>
      </c>
      <c r="C49" s="141"/>
      <c r="D49" s="141"/>
      <c r="E49" s="142">
        <f>SUMIFS(BUDGET[Total Cost CHF],BUDGET[Budget
Group],A49)</f>
        <v>0</v>
      </c>
    </row>
    <row r="50" spans="1:9" ht="14.25" customHeight="1" x14ac:dyDescent="0.55000000000000004">
      <c r="A50" s="140">
        <v>740</v>
      </c>
      <c r="B50" s="141" t="s">
        <v>208</v>
      </c>
      <c r="C50" s="141"/>
      <c r="D50" s="141"/>
      <c r="E50" s="142">
        <f>SUMIFS(BUDGET[Total Cost CHF],BUDGET[Budget
Group],A50)</f>
        <v>0</v>
      </c>
    </row>
    <row r="51" spans="1:9" ht="14.25" customHeight="1" x14ac:dyDescent="0.55000000000000004">
      <c r="A51" s="140">
        <v>760</v>
      </c>
      <c r="B51" s="141" t="s">
        <v>209</v>
      </c>
      <c r="C51" s="141"/>
      <c r="D51" s="141"/>
      <c r="E51" s="142">
        <f>SUMIFS(BUDGET[Total Cost CHF],BUDGET[Budget
Group],A51)</f>
        <v>0</v>
      </c>
    </row>
    <row r="52" spans="1:9" ht="14.25" customHeight="1" x14ac:dyDescent="0.55000000000000004">
      <c r="A52" s="140">
        <v>790</v>
      </c>
      <c r="B52" s="141" t="s">
        <v>210</v>
      </c>
      <c r="C52" s="141"/>
      <c r="D52" s="141"/>
      <c r="E52" s="142">
        <f>SUMIFS(BUDGET[Total Cost CHF],BUDGET[Budget
Group],A52)</f>
        <v>0</v>
      </c>
    </row>
    <row r="53" spans="1:9" ht="14.25" customHeight="1" x14ac:dyDescent="0.55000000000000004">
      <c r="A53" s="140">
        <v>799</v>
      </c>
      <c r="B53" s="141" t="s">
        <v>211</v>
      </c>
      <c r="C53" s="141"/>
      <c r="D53" s="141"/>
      <c r="E53" s="142">
        <f>SUMIFS(BUDGET[Total Cost CHF],BUDGET[Budget
Group],A53)</f>
        <v>0</v>
      </c>
    </row>
    <row r="54" spans="1:9" x14ac:dyDescent="0.55000000000000004">
      <c r="A54" s="133"/>
      <c r="B54" s="137" t="s">
        <v>212</v>
      </c>
      <c r="C54" s="138"/>
      <c r="D54" s="138"/>
      <c r="E54" s="139">
        <f>SUM(E55)</f>
        <v>0</v>
      </c>
    </row>
    <row r="55" spans="1:9" ht="14.25" customHeight="1" x14ac:dyDescent="0.55000000000000004">
      <c r="A55" s="143">
        <v>798</v>
      </c>
      <c r="B55" s="144" t="s">
        <v>213</v>
      </c>
      <c r="C55" s="144"/>
      <c r="D55" s="144"/>
      <c r="E55" s="145">
        <f>SUMIFS(BUDGET[Total Cost CHF],BUDGET[Budget
Group],A55)</f>
        <v>0</v>
      </c>
    </row>
    <row r="56" spans="1:9" x14ac:dyDescent="0.55000000000000004">
      <c r="A56" s="133"/>
      <c r="B56" s="137" t="s">
        <v>214</v>
      </c>
      <c r="C56" s="138"/>
      <c r="D56" s="138"/>
      <c r="E56" s="139">
        <f>SUM(E57:E58)</f>
        <v>0</v>
      </c>
    </row>
    <row r="57" spans="1:9" ht="14.25" customHeight="1" x14ac:dyDescent="0.55000000000000004">
      <c r="A57" s="146">
        <v>830</v>
      </c>
      <c r="B57" s="141" t="s">
        <v>215</v>
      </c>
      <c r="C57" s="141"/>
      <c r="D57" s="141"/>
      <c r="E57" s="142">
        <f>SUMIFS(BUDGET[Total Cost CHF],BUDGET[Budget
Group],A57)</f>
        <v>0</v>
      </c>
    </row>
    <row r="58" spans="1:9" ht="14.25" customHeight="1" x14ac:dyDescent="0.55000000000000004">
      <c r="A58" s="147">
        <v>831</v>
      </c>
      <c r="B58" s="148" t="s">
        <v>216</v>
      </c>
      <c r="C58" s="148"/>
      <c r="D58" s="148"/>
      <c r="E58" s="149">
        <f>SUMIFS(BUDGET[Total Cost CHF],BUDGET[Budget
Group],A58)</f>
        <v>0</v>
      </c>
    </row>
    <row r="59" spans="1:9" ht="3" customHeight="1" x14ac:dyDescent="0.55000000000000004">
      <c r="B59" s="7"/>
      <c r="C59" s="7"/>
      <c r="D59" s="7"/>
      <c r="E59" s="7"/>
      <c r="H59" s="150" t="s">
        <v>217</v>
      </c>
    </row>
    <row r="60" spans="1:9" x14ac:dyDescent="0.55000000000000004">
      <c r="A60" s="151"/>
      <c r="B60" s="152" t="s">
        <v>218</v>
      </c>
      <c r="C60" s="153"/>
      <c r="D60" s="153"/>
      <c r="E60" s="154">
        <f>+E8+E24+E31+E36+E41+E44+E46+E54+E56</f>
        <v>0</v>
      </c>
      <c r="H60" s="155" cm="1">
        <f t="array" ref="H60">TOT_DIRECT</f>
        <v>0</v>
      </c>
      <c r="I60" s="156">
        <f>+E60-H60</f>
        <v>0</v>
      </c>
    </row>
    <row r="61" spans="1:9" x14ac:dyDescent="0.55000000000000004">
      <c r="A61" s="157"/>
      <c r="B61" s="158" t="s">
        <v>148</v>
      </c>
      <c r="C61" s="159"/>
      <c r="D61" s="159"/>
      <c r="E61" s="160">
        <f>ROUND(E60*6.5/100,2)</f>
        <v>0</v>
      </c>
      <c r="H61" s="155">
        <f>TOT_INDIRECT</f>
        <v>0</v>
      </c>
      <c r="I61" s="156">
        <f>+E61-H61</f>
        <v>0</v>
      </c>
    </row>
    <row r="62" spans="1:9" x14ac:dyDescent="0.55000000000000004">
      <c r="A62" s="161"/>
      <c r="B62" s="162" t="s">
        <v>149</v>
      </c>
      <c r="C62" s="163"/>
      <c r="D62" s="163"/>
      <c r="E62" s="164">
        <f>+E60+E61</f>
        <v>0</v>
      </c>
      <c r="H62" s="155">
        <f>TOT_BUDGET</f>
        <v>0</v>
      </c>
      <c r="I62" s="156">
        <f>+E62-H62</f>
        <v>0</v>
      </c>
    </row>
  </sheetData>
  <sheetProtection algorithmName="SHA-512" hashValue="XzF6sra4v0EEyp4HitSLVh7ZLQpfhf0px5JAhQ+xtWEOvnRogCJtHvdwiI8YXKuMIDWJP5+j0dRttV5yQ3X/xg==" saltValue="nMwWp55D99TfY5T5h4Enww==" spinCount="100000" sheet="1" autoFilter="0"/>
  <autoFilter ref="E7:E62" xr:uid="{757460E5-543C-497E-A3A8-2C9D1AE5B2A1}"/>
  <printOptions horizontalCentered="1"/>
  <pageMargins left="0.59055118110236227" right="0.59055118110236227" top="0.39370078740157483" bottom="0.62992125984251968" header="0.31496062992125984" footer="0.31496062992125984"/>
  <pageSetup paperSize="9" orientation="portrait" r:id="rId1"/>
  <headerFooter>
    <oddFooter>&amp;C&amp;K00-049&amp;D&amp;R&amp;"Arial,Regular"&amp;9&amp;K00-049V2022.01&amp;L&amp;1#&amp;"Calibri"&amp;10&amp;K000000Internal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CB312-4BD1-4306-8057-F6D7CD997115}">
  <sheetPr codeName="Sheet4">
    <tabColor theme="2" tint="-0.249977111117893"/>
    <pageSetUpPr fitToPage="1"/>
  </sheetPr>
  <dimension ref="A1:C55"/>
  <sheetViews>
    <sheetView topLeftCell="A19" workbookViewId="0">
      <selection activeCell="C1" sqref="C1"/>
    </sheetView>
  </sheetViews>
  <sheetFormatPr defaultColWidth="8.86328125" defaultRowHeight="15" x14ac:dyDescent="0.55000000000000004"/>
  <cols>
    <col min="1" max="1" width="8.265625" style="7" customWidth="1"/>
    <col min="2" max="2" width="34.73046875" style="7" customWidth="1"/>
    <col min="3" max="3" width="90.59765625" style="7" customWidth="1"/>
    <col min="4" max="16384" width="8.86328125" style="7"/>
  </cols>
  <sheetData>
    <row r="1" spans="1:3" s="1" customFormat="1" ht="36" customHeight="1" x14ac:dyDescent="0.9">
      <c r="C1" s="14" t="s">
        <v>219</v>
      </c>
    </row>
    <row r="2" spans="1:3" ht="36" customHeight="1" x14ac:dyDescent="0.55000000000000004"/>
    <row r="3" spans="1:3" s="9" customFormat="1" ht="22.7" customHeight="1" x14ac:dyDescent="0.45">
      <c r="A3" s="8" t="s">
        <v>220</v>
      </c>
      <c r="B3" s="8" t="s">
        <v>221</v>
      </c>
      <c r="C3" s="8" t="s">
        <v>16</v>
      </c>
    </row>
    <row r="4" spans="1:3" s="9" customFormat="1" ht="25.7" customHeight="1" x14ac:dyDescent="0.45">
      <c r="A4" s="10"/>
      <c r="B4" s="11" t="s">
        <v>167</v>
      </c>
      <c r="C4" s="12" t="s">
        <v>222</v>
      </c>
    </row>
    <row r="5" spans="1:3" ht="15.6" customHeight="1" x14ac:dyDescent="0.55000000000000004">
      <c r="A5" s="18">
        <v>500</v>
      </c>
      <c r="B5" s="19" t="s">
        <v>168</v>
      </c>
      <c r="C5" s="20" t="s">
        <v>223</v>
      </c>
    </row>
    <row r="6" spans="1:3" ht="15.6" customHeight="1" x14ac:dyDescent="0.55000000000000004">
      <c r="A6" s="18">
        <v>501</v>
      </c>
      <c r="B6" s="19" t="s">
        <v>169</v>
      </c>
      <c r="C6" s="20" t="s">
        <v>224</v>
      </c>
    </row>
    <row r="7" spans="1:3" ht="15.6" customHeight="1" x14ac:dyDescent="0.55000000000000004">
      <c r="A7" s="18">
        <v>502</v>
      </c>
      <c r="B7" s="19" t="s">
        <v>170</v>
      </c>
      <c r="C7" s="20" t="s">
        <v>225</v>
      </c>
    </row>
    <row r="8" spans="1:3" ht="15.6" customHeight="1" x14ac:dyDescent="0.55000000000000004">
      <c r="A8" s="18">
        <v>503</v>
      </c>
      <c r="B8" s="19" t="s">
        <v>171</v>
      </c>
      <c r="C8" s="20" t="s">
        <v>226</v>
      </c>
    </row>
    <row r="9" spans="1:3" ht="15.6" customHeight="1" x14ac:dyDescent="0.55000000000000004">
      <c r="A9" s="18">
        <v>505</v>
      </c>
      <c r="B9" s="19" t="s">
        <v>172</v>
      </c>
      <c r="C9" s="20" t="s">
        <v>227</v>
      </c>
    </row>
    <row r="10" spans="1:3" ht="15.6" customHeight="1" x14ac:dyDescent="0.55000000000000004">
      <c r="A10" s="18">
        <v>510</v>
      </c>
      <c r="B10" s="19" t="s">
        <v>173</v>
      </c>
      <c r="C10" s="20" t="s">
        <v>228</v>
      </c>
    </row>
    <row r="11" spans="1:3" ht="15.6" customHeight="1" x14ac:dyDescent="0.55000000000000004">
      <c r="A11" s="18">
        <v>520</v>
      </c>
      <c r="B11" s="19" t="s">
        <v>174</v>
      </c>
      <c r="C11" s="20" t="s">
        <v>229</v>
      </c>
    </row>
    <row r="12" spans="1:3" ht="15.6" customHeight="1" x14ac:dyDescent="0.55000000000000004">
      <c r="A12" s="18">
        <v>523</v>
      </c>
      <c r="B12" s="19" t="s">
        <v>175</v>
      </c>
      <c r="C12" s="20" t="s">
        <v>230</v>
      </c>
    </row>
    <row r="13" spans="1:3" ht="30" customHeight="1" x14ac:dyDescent="0.55000000000000004">
      <c r="A13" s="18">
        <v>530</v>
      </c>
      <c r="B13" s="19" t="s">
        <v>57</v>
      </c>
      <c r="C13" s="20" t="s">
        <v>231</v>
      </c>
    </row>
    <row r="14" spans="1:3" ht="15.6" customHeight="1" x14ac:dyDescent="0.55000000000000004">
      <c r="A14" s="18">
        <v>540</v>
      </c>
      <c r="B14" s="19" t="s">
        <v>176</v>
      </c>
      <c r="C14" s="20" t="s">
        <v>232</v>
      </c>
    </row>
    <row r="15" spans="1:3" ht="15.6" customHeight="1" x14ac:dyDescent="0.55000000000000004">
      <c r="A15" s="18">
        <v>550</v>
      </c>
      <c r="B15" s="19" t="s">
        <v>177</v>
      </c>
      <c r="C15" s="20" t="s">
        <v>233</v>
      </c>
    </row>
    <row r="16" spans="1:3" ht="15.6" customHeight="1" x14ac:dyDescent="0.55000000000000004">
      <c r="A16" s="18">
        <v>560</v>
      </c>
      <c r="B16" s="19" t="s">
        <v>178</v>
      </c>
      <c r="C16" s="20" t="s">
        <v>234</v>
      </c>
    </row>
    <row r="17" spans="1:3" ht="15.6" customHeight="1" x14ac:dyDescent="0.55000000000000004">
      <c r="A17" s="18">
        <v>570</v>
      </c>
      <c r="B17" s="19" t="s">
        <v>179</v>
      </c>
      <c r="C17" s="20" t="s">
        <v>235</v>
      </c>
    </row>
    <row r="18" spans="1:3" ht="15.6" customHeight="1" x14ac:dyDescent="0.55000000000000004">
      <c r="A18" s="18">
        <v>571</v>
      </c>
      <c r="B18" s="19" t="s">
        <v>180</v>
      </c>
      <c r="C18" s="20" t="s">
        <v>236</v>
      </c>
    </row>
    <row r="19" spans="1:3" ht="15.6" customHeight="1" x14ac:dyDescent="0.55000000000000004">
      <c r="A19" s="18">
        <v>578</v>
      </c>
      <c r="B19" s="19" t="s">
        <v>181</v>
      </c>
      <c r="C19" s="20" t="s">
        <v>237</v>
      </c>
    </row>
    <row r="20" spans="1:3" s="9" customFormat="1" ht="25.7" customHeight="1" x14ac:dyDescent="0.45">
      <c r="A20" s="10"/>
      <c r="B20" s="11" t="s">
        <v>182</v>
      </c>
      <c r="C20" s="12" t="s">
        <v>238</v>
      </c>
    </row>
    <row r="21" spans="1:3" ht="15.6" customHeight="1" x14ac:dyDescent="0.55000000000000004">
      <c r="A21" s="18">
        <v>580</v>
      </c>
      <c r="B21" s="19" t="s">
        <v>183</v>
      </c>
      <c r="C21" s="20" t="s">
        <v>239</v>
      </c>
    </row>
    <row r="22" spans="1:3" ht="15.6" customHeight="1" x14ac:dyDescent="0.55000000000000004">
      <c r="A22" s="18">
        <v>581</v>
      </c>
      <c r="B22" s="19" t="s">
        <v>184</v>
      </c>
      <c r="C22" s="21" t="s">
        <v>240</v>
      </c>
    </row>
    <row r="23" spans="1:3" ht="15.6" customHeight="1" x14ac:dyDescent="0.55000000000000004">
      <c r="A23" s="18">
        <v>582</v>
      </c>
      <c r="B23" s="19" t="s">
        <v>185</v>
      </c>
      <c r="C23" s="21" t="s">
        <v>241</v>
      </c>
    </row>
    <row r="24" spans="1:3" ht="15.6" customHeight="1" x14ac:dyDescent="0.55000000000000004">
      <c r="A24" s="18">
        <v>584</v>
      </c>
      <c r="B24" s="19" t="s">
        <v>186</v>
      </c>
      <c r="C24" s="21" t="s">
        <v>242</v>
      </c>
    </row>
    <row r="25" spans="1:3" ht="15.6" customHeight="1" x14ac:dyDescent="0.55000000000000004">
      <c r="A25" s="18">
        <v>587</v>
      </c>
      <c r="B25" s="19" t="s">
        <v>187</v>
      </c>
      <c r="C25" s="21" t="s">
        <v>243</v>
      </c>
    </row>
    <row r="26" spans="1:3" ht="15.6" customHeight="1" x14ac:dyDescent="0.55000000000000004">
      <c r="A26" s="18">
        <v>589</v>
      </c>
      <c r="B26" s="19" t="s">
        <v>188</v>
      </c>
      <c r="C26" s="21" t="s">
        <v>244</v>
      </c>
    </row>
    <row r="27" spans="1:3" s="9" customFormat="1" ht="25.7" customHeight="1" x14ac:dyDescent="0.45">
      <c r="A27" s="10"/>
      <c r="B27" s="11" t="s">
        <v>189</v>
      </c>
      <c r="C27" s="12" t="s">
        <v>245</v>
      </c>
    </row>
    <row r="28" spans="1:3" ht="30" customHeight="1" x14ac:dyDescent="0.55000000000000004">
      <c r="A28" s="18">
        <v>590</v>
      </c>
      <c r="B28" s="19" t="s">
        <v>190</v>
      </c>
      <c r="C28" s="20" t="s">
        <v>246</v>
      </c>
    </row>
    <row r="29" spans="1:3" ht="30" customHeight="1" x14ac:dyDescent="0.55000000000000004">
      <c r="A29" s="18">
        <v>592</v>
      </c>
      <c r="B29" s="19" t="s">
        <v>191</v>
      </c>
      <c r="C29" s="20" t="s">
        <v>247</v>
      </c>
    </row>
    <row r="30" spans="1:3" ht="30" customHeight="1" x14ac:dyDescent="0.55000000000000004">
      <c r="A30" s="18">
        <v>593</v>
      </c>
      <c r="B30" s="19" t="s">
        <v>192</v>
      </c>
      <c r="C30" s="20" t="s">
        <v>248</v>
      </c>
    </row>
    <row r="31" spans="1:3" ht="15.6" customHeight="1" x14ac:dyDescent="0.55000000000000004">
      <c r="A31" s="18">
        <v>594</v>
      </c>
      <c r="B31" s="19" t="s">
        <v>193</v>
      </c>
      <c r="C31" s="20" t="s">
        <v>249</v>
      </c>
    </row>
    <row r="32" spans="1:3" ht="25.7" customHeight="1" x14ac:dyDescent="0.55000000000000004">
      <c r="A32" s="10"/>
      <c r="B32" s="11" t="s">
        <v>194</v>
      </c>
      <c r="C32" s="12" t="s">
        <v>250</v>
      </c>
    </row>
    <row r="33" spans="1:3" ht="30" customHeight="1" x14ac:dyDescent="0.55000000000000004">
      <c r="A33" s="18">
        <v>600</v>
      </c>
      <c r="B33" s="19" t="s">
        <v>195</v>
      </c>
      <c r="C33" s="20" t="s">
        <v>251</v>
      </c>
    </row>
    <row r="34" spans="1:3" ht="15.6" customHeight="1" x14ac:dyDescent="0.55000000000000004">
      <c r="A34" s="18">
        <v>661</v>
      </c>
      <c r="B34" s="19" t="s">
        <v>196</v>
      </c>
      <c r="C34" s="20" t="s">
        <v>252</v>
      </c>
    </row>
    <row r="35" spans="1:3" ht="30" customHeight="1" x14ac:dyDescent="0.55000000000000004">
      <c r="A35" s="18">
        <v>662</v>
      </c>
      <c r="B35" s="19" t="s">
        <v>197</v>
      </c>
      <c r="C35" s="20" t="s">
        <v>253</v>
      </c>
    </row>
    <row r="36" spans="1:3" ht="15.6" customHeight="1" x14ac:dyDescent="0.55000000000000004">
      <c r="A36" s="18">
        <v>667</v>
      </c>
      <c r="B36" s="19" t="s">
        <v>198</v>
      </c>
      <c r="C36" s="20" t="s">
        <v>254</v>
      </c>
    </row>
    <row r="37" spans="1:3" ht="25.7" customHeight="1" x14ac:dyDescent="0.55000000000000004">
      <c r="A37" s="10"/>
      <c r="B37" s="11" t="s">
        <v>199</v>
      </c>
      <c r="C37" s="12" t="s">
        <v>255</v>
      </c>
    </row>
    <row r="38" spans="1:3" ht="15.6" customHeight="1" x14ac:dyDescent="0.55000000000000004">
      <c r="A38" s="18">
        <v>670</v>
      </c>
      <c r="B38" s="19" t="s">
        <v>200</v>
      </c>
      <c r="C38" s="20" t="s">
        <v>256</v>
      </c>
    </row>
    <row r="39" spans="1:3" ht="15.6" customHeight="1" x14ac:dyDescent="0.55000000000000004">
      <c r="A39" s="18">
        <v>750</v>
      </c>
      <c r="B39" s="19" t="s">
        <v>201</v>
      </c>
      <c r="C39" s="20" t="s">
        <v>257</v>
      </c>
    </row>
    <row r="40" spans="1:3" ht="25.7" customHeight="1" x14ac:dyDescent="0.55000000000000004">
      <c r="A40" s="10"/>
      <c r="B40" s="11" t="s">
        <v>202</v>
      </c>
      <c r="C40" s="12" t="s">
        <v>258</v>
      </c>
    </row>
    <row r="41" spans="1:3" ht="30" customHeight="1" x14ac:dyDescent="0.55000000000000004">
      <c r="A41" s="18">
        <v>680</v>
      </c>
      <c r="B41" s="19" t="s">
        <v>203</v>
      </c>
      <c r="C41" s="20" t="s">
        <v>259</v>
      </c>
    </row>
    <row r="42" spans="1:3" ht="25.7" customHeight="1" x14ac:dyDescent="0.55000000000000004">
      <c r="A42" s="10"/>
      <c r="B42" s="11" t="s">
        <v>204</v>
      </c>
      <c r="C42" s="12" t="s">
        <v>260</v>
      </c>
    </row>
    <row r="43" spans="1:3" ht="30" customHeight="1" x14ac:dyDescent="0.55000000000000004">
      <c r="A43" s="18">
        <v>700</v>
      </c>
      <c r="B43" s="19" t="s">
        <v>205</v>
      </c>
      <c r="C43" s="20" t="s">
        <v>261</v>
      </c>
    </row>
    <row r="44" spans="1:3" ht="39.6" customHeight="1" x14ac:dyDescent="0.55000000000000004">
      <c r="A44" s="18">
        <v>710</v>
      </c>
      <c r="B44" s="19" t="s">
        <v>206</v>
      </c>
      <c r="C44" s="20" t="s">
        <v>262</v>
      </c>
    </row>
    <row r="45" spans="1:3" ht="39.6" customHeight="1" x14ac:dyDescent="0.55000000000000004">
      <c r="A45" s="18">
        <v>730</v>
      </c>
      <c r="B45" s="19" t="s">
        <v>207</v>
      </c>
      <c r="C45" s="20" t="s">
        <v>263</v>
      </c>
    </row>
    <row r="46" spans="1:3" ht="15.6" customHeight="1" x14ac:dyDescent="0.55000000000000004">
      <c r="A46" s="18">
        <v>740</v>
      </c>
      <c r="B46" s="19" t="s">
        <v>208</v>
      </c>
      <c r="C46" s="20" t="s">
        <v>264</v>
      </c>
    </row>
    <row r="47" spans="1:3" ht="15.6" customHeight="1" x14ac:dyDescent="0.55000000000000004">
      <c r="A47" s="18">
        <v>760</v>
      </c>
      <c r="B47" s="19" t="s">
        <v>209</v>
      </c>
      <c r="C47" s="20" t="s">
        <v>265</v>
      </c>
    </row>
    <row r="48" spans="1:3" ht="15.6" customHeight="1" x14ac:dyDescent="0.55000000000000004">
      <c r="A48" s="18">
        <v>790</v>
      </c>
      <c r="B48" s="19" t="s">
        <v>210</v>
      </c>
      <c r="C48" s="20" t="s">
        <v>266</v>
      </c>
    </row>
    <row r="49" spans="1:3" ht="15.6" customHeight="1" x14ac:dyDescent="0.55000000000000004">
      <c r="A49" s="18">
        <v>799</v>
      </c>
      <c r="B49" s="19" t="s">
        <v>211</v>
      </c>
      <c r="C49" s="20" t="s">
        <v>267</v>
      </c>
    </row>
    <row r="50" spans="1:3" ht="25.7" customHeight="1" x14ac:dyDescent="0.55000000000000004">
      <c r="A50" s="10"/>
      <c r="B50" s="11" t="s">
        <v>212</v>
      </c>
      <c r="C50" s="12" t="s">
        <v>268</v>
      </c>
    </row>
    <row r="51" spans="1:3" ht="30" customHeight="1" x14ac:dyDescent="0.55000000000000004">
      <c r="A51" s="18">
        <v>798</v>
      </c>
      <c r="B51" s="19" t="s">
        <v>213</v>
      </c>
      <c r="C51" s="20" t="s">
        <v>269</v>
      </c>
    </row>
    <row r="52" spans="1:3" ht="25.7" customHeight="1" x14ac:dyDescent="0.55000000000000004">
      <c r="A52" s="10"/>
      <c r="B52" s="11" t="s">
        <v>214</v>
      </c>
      <c r="C52" s="12" t="s">
        <v>270</v>
      </c>
    </row>
    <row r="53" spans="1:3" ht="15.6" customHeight="1" x14ac:dyDescent="0.55000000000000004">
      <c r="A53" s="18">
        <v>830</v>
      </c>
      <c r="B53" s="19" t="s">
        <v>215</v>
      </c>
      <c r="C53" s="20" t="s">
        <v>271</v>
      </c>
    </row>
    <row r="54" spans="1:3" ht="15.6" customHeight="1" x14ac:dyDescent="0.55000000000000004">
      <c r="A54" s="18">
        <v>831</v>
      </c>
      <c r="B54" s="19" t="s">
        <v>216</v>
      </c>
      <c r="C54" s="20" t="s">
        <v>272</v>
      </c>
    </row>
    <row r="55" spans="1:3" x14ac:dyDescent="0.55000000000000004">
      <c r="C55" s="13"/>
    </row>
  </sheetData>
  <sheetProtection algorithmName="SHA-512" hashValue="1TEYVClL0Bhd/E8dlRYUMgJNoKV05KJNZbEBNcYRDog9TjaYKQ1f5eTbVYxEo487e+8oasVyeW+puTS1KKqfmw==" saltValue="M1Op0CDa6mwt3VxkK1xjaQ==" spinCount="100000" sheet="1" autoFilter="0"/>
  <printOptions horizontalCentered="1"/>
  <pageMargins left="0.39370078740157483" right="0.47244094488188981" top="0.39370078740157483" bottom="0.39370078740157483" header="0.31496062992125984" footer="0.31496062992125984"/>
  <pageSetup paperSize="9" scale="70" orientation="portrait" horizontalDpi="1200" verticalDpi="1200" r:id="rId1"/>
  <headerFooter>
    <oddFooter>&amp;L&amp;1#&amp;"Calibri"&amp;10&amp;K000000Internal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D59A4-B245-468D-BF3D-C0610DC870A2}">
  <sheetPr codeName="Sheet6">
    <tabColor theme="2" tint="-0.249977111117893"/>
  </sheetPr>
  <dimension ref="A1:I123"/>
  <sheetViews>
    <sheetView showGridLines="0" topLeftCell="A83" zoomScaleNormal="100" workbookViewId="0">
      <selection activeCell="I1" sqref="I1"/>
    </sheetView>
  </sheetViews>
  <sheetFormatPr defaultColWidth="9.1328125" defaultRowHeight="15.75" x14ac:dyDescent="0.55000000000000004"/>
  <cols>
    <col min="1" max="1" width="8.3984375" style="1" customWidth="1"/>
    <col min="2" max="2" width="17.86328125" style="1" customWidth="1"/>
    <col min="3" max="9" width="10.265625" style="1" customWidth="1"/>
    <col min="10" max="16384" width="9.1328125" style="1"/>
  </cols>
  <sheetData>
    <row r="1" spans="1:9" s="22" customFormat="1" ht="15" x14ac:dyDescent="0.55000000000000004">
      <c r="A1" s="15" t="s">
        <v>0</v>
      </c>
      <c r="I1" s="120" t="s">
        <v>1</v>
      </c>
    </row>
    <row r="2" spans="1:9" s="22" customFormat="1" ht="21" x14ac:dyDescent="0.75">
      <c r="A2" s="57" t="s">
        <v>2</v>
      </c>
      <c r="H2" s="31"/>
    </row>
    <row r="3" spans="1:9" s="22" customFormat="1" ht="32.25" customHeight="1" thickBot="1" x14ac:dyDescent="0.55000000000000004">
      <c r="A3" s="55" t="s">
        <v>273</v>
      </c>
      <c r="B3" s="56"/>
      <c r="C3" s="99" t="s">
        <v>274</v>
      </c>
      <c r="D3" s="100"/>
      <c r="E3" s="100"/>
      <c r="F3" s="100"/>
      <c r="G3" s="100"/>
      <c r="H3" s="100"/>
      <c r="I3" s="100"/>
    </row>
    <row r="5" spans="1:9" ht="17.25" x14ac:dyDescent="0.6">
      <c r="A5" s="61" t="s">
        <v>275</v>
      </c>
    </row>
    <row r="6" spans="1:9" x14ac:dyDescent="0.55000000000000004">
      <c r="A6" s="209" t="s">
        <v>276</v>
      </c>
      <c r="B6" s="209"/>
      <c r="C6" s="209"/>
      <c r="D6" s="209"/>
      <c r="E6" s="209"/>
      <c r="F6" s="209"/>
      <c r="G6" s="209"/>
      <c r="H6" s="209"/>
      <c r="I6" s="209"/>
    </row>
    <row r="7" spans="1:9" ht="33" customHeight="1" x14ac:dyDescent="0.55000000000000004">
      <c r="A7" s="209" t="s">
        <v>277</v>
      </c>
      <c r="B7" s="209"/>
      <c r="C7" s="209"/>
      <c r="D7" s="209"/>
      <c r="E7" s="209"/>
      <c r="F7" s="209"/>
      <c r="G7" s="209"/>
      <c r="H7" s="209"/>
      <c r="I7" s="209"/>
    </row>
    <row r="8" spans="1:9" ht="16.5" customHeight="1" x14ac:dyDescent="0.55000000000000004">
      <c r="A8" s="209" t="s">
        <v>278</v>
      </c>
      <c r="B8" s="209"/>
      <c r="C8" s="209"/>
      <c r="D8" s="209"/>
      <c r="E8" s="209"/>
      <c r="F8" s="209"/>
      <c r="G8" s="209"/>
      <c r="H8" s="209"/>
      <c r="I8" s="209"/>
    </row>
    <row r="9" spans="1:9" ht="9" customHeight="1" x14ac:dyDescent="0.55000000000000004"/>
    <row r="10" spans="1:9" ht="17.25" x14ac:dyDescent="0.6">
      <c r="A10" s="61" t="s">
        <v>279</v>
      </c>
    </row>
    <row r="11" spans="1:9" ht="33" customHeight="1" x14ac:dyDescent="0.55000000000000004">
      <c r="A11" s="209" t="s">
        <v>280</v>
      </c>
      <c r="B11" s="209"/>
      <c r="C11" s="209"/>
      <c r="D11" s="209"/>
      <c r="E11" s="209"/>
      <c r="F11" s="209"/>
      <c r="G11" s="209"/>
      <c r="H11" s="209"/>
      <c r="I11" s="209"/>
    </row>
    <row r="12" spans="1:9" ht="16.5" customHeight="1" x14ac:dyDescent="0.55000000000000004">
      <c r="A12" s="209" t="s">
        <v>281</v>
      </c>
      <c r="B12" s="209"/>
      <c r="C12" s="209"/>
      <c r="D12" s="209"/>
      <c r="E12" s="209"/>
      <c r="F12" s="209"/>
      <c r="G12" s="209"/>
      <c r="H12" s="209"/>
      <c r="I12" s="209"/>
    </row>
    <row r="13" spans="1:9" ht="16.5" customHeight="1" x14ac:dyDescent="0.55000000000000004">
      <c r="A13" s="64" t="s">
        <v>282</v>
      </c>
      <c r="B13" s="63"/>
      <c r="C13" s="63"/>
      <c r="D13" s="63"/>
      <c r="E13" s="63"/>
      <c r="F13" s="63"/>
      <c r="G13" s="63"/>
      <c r="H13" s="63"/>
      <c r="I13" s="63"/>
    </row>
    <row r="14" spans="1:9" ht="9" customHeight="1" x14ac:dyDescent="0.55000000000000004">
      <c r="A14" s="59"/>
      <c r="B14" s="58"/>
      <c r="C14" s="58"/>
      <c r="D14" s="58"/>
      <c r="E14" s="58"/>
      <c r="F14" s="58"/>
      <c r="G14" s="58"/>
      <c r="H14" s="58"/>
      <c r="I14" s="58"/>
    </row>
    <row r="15" spans="1:9" ht="17.25" x14ac:dyDescent="0.6">
      <c r="A15" s="61" t="s">
        <v>283</v>
      </c>
      <c r="B15" s="58"/>
      <c r="C15" s="58"/>
      <c r="D15" s="58"/>
      <c r="E15" s="58"/>
      <c r="F15" s="58"/>
      <c r="G15" s="58"/>
      <c r="H15" s="58"/>
      <c r="I15" s="58"/>
    </row>
    <row r="16" spans="1:9" ht="9" customHeight="1" x14ac:dyDescent="0.6">
      <c r="A16" s="61"/>
      <c r="B16" s="58"/>
      <c r="C16" s="58"/>
      <c r="D16" s="58"/>
      <c r="E16" s="58"/>
      <c r="F16" s="58"/>
      <c r="G16" s="58"/>
      <c r="H16" s="58"/>
      <c r="I16" s="58"/>
    </row>
    <row r="17" spans="1:9" ht="20.65" x14ac:dyDescent="0.75">
      <c r="A17" s="87" t="s">
        <v>284</v>
      </c>
      <c r="B17" s="88"/>
      <c r="C17" s="84"/>
      <c r="D17" s="84"/>
      <c r="E17" s="84"/>
      <c r="F17" s="84"/>
      <c r="G17" s="84"/>
      <c r="H17" s="84"/>
      <c r="I17" s="84"/>
    </row>
    <row r="18" spans="1:9" x14ac:dyDescent="0.55000000000000004">
      <c r="A18" s="209" t="s">
        <v>285</v>
      </c>
      <c r="B18" s="209"/>
      <c r="C18" s="209"/>
      <c r="D18" s="209"/>
      <c r="E18" s="209"/>
      <c r="F18" s="209"/>
      <c r="G18" s="209"/>
      <c r="H18" s="209"/>
      <c r="I18" s="209"/>
    </row>
    <row r="19" spans="1:9" ht="9" customHeight="1" x14ac:dyDescent="0.55000000000000004">
      <c r="A19" s="60"/>
      <c r="B19" s="60"/>
      <c r="C19" s="60"/>
      <c r="D19" s="60"/>
      <c r="E19" s="60"/>
      <c r="F19" s="60"/>
      <c r="G19" s="60"/>
      <c r="H19" s="60"/>
      <c r="I19" s="60"/>
    </row>
    <row r="20" spans="1:9" ht="24.75" customHeight="1" x14ac:dyDescent="0.75">
      <c r="A20" s="94" t="s">
        <v>286</v>
      </c>
    </row>
    <row r="21" spans="1:9" ht="16.5" customHeight="1" x14ac:dyDescent="0.55000000000000004">
      <c r="A21" s="209" t="s">
        <v>287</v>
      </c>
      <c r="B21" s="209"/>
      <c r="C21" s="209"/>
      <c r="D21" s="209"/>
      <c r="E21" s="209"/>
      <c r="F21" s="209"/>
      <c r="G21" s="209"/>
      <c r="H21" s="209"/>
      <c r="I21" s="209"/>
    </row>
    <row r="22" spans="1:9" s="67" customFormat="1" ht="11.65" x14ac:dyDescent="0.35">
      <c r="B22" s="83" t="s">
        <v>4</v>
      </c>
      <c r="C22" s="82" t="s">
        <v>288</v>
      </c>
      <c r="D22" s="83"/>
      <c r="E22" s="83"/>
      <c r="F22" s="83"/>
      <c r="G22" s="83"/>
      <c r="H22" s="83"/>
    </row>
    <row r="23" spans="1:9" s="67" customFormat="1" ht="11.65" x14ac:dyDescent="0.35">
      <c r="B23" s="83" t="s">
        <v>10</v>
      </c>
      <c r="C23" s="82" t="s">
        <v>289</v>
      </c>
      <c r="D23" s="83"/>
      <c r="E23" s="83"/>
      <c r="F23" s="83"/>
      <c r="G23" s="83"/>
      <c r="H23" s="83"/>
    </row>
    <row r="24" spans="1:9" s="67" customFormat="1" ht="11.65" x14ac:dyDescent="0.35">
      <c r="B24" s="83" t="s">
        <v>6</v>
      </c>
      <c r="C24" s="82" t="s">
        <v>290</v>
      </c>
      <c r="D24" s="83"/>
      <c r="E24" s="83"/>
      <c r="F24" s="83"/>
      <c r="G24" s="83"/>
      <c r="H24" s="83"/>
    </row>
    <row r="25" spans="1:9" s="67" customFormat="1" ht="11.65" x14ac:dyDescent="0.35">
      <c r="B25" s="83" t="s">
        <v>291</v>
      </c>
      <c r="C25" s="82" t="s">
        <v>292</v>
      </c>
      <c r="D25" s="83"/>
      <c r="E25" s="83"/>
      <c r="F25" s="83"/>
      <c r="G25" s="83"/>
      <c r="H25" s="83"/>
    </row>
    <row r="26" spans="1:9" s="67" customFormat="1" ht="24" customHeight="1" x14ac:dyDescent="0.35">
      <c r="B26" s="80" t="s">
        <v>12</v>
      </c>
      <c r="C26" s="212" t="s">
        <v>293</v>
      </c>
      <c r="D26" s="212"/>
      <c r="E26" s="212"/>
      <c r="F26" s="212"/>
      <c r="G26" s="212"/>
      <c r="H26" s="212"/>
      <c r="I26" s="66"/>
    </row>
    <row r="27" spans="1:9" s="67" customFormat="1" ht="11.65" x14ac:dyDescent="0.35">
      <c r="B27" s="83" t="s">
        <v>5</v>
      </c>
      <c r="C27" s="82" t="s">
        <v>294</v>
      </c>
      <c r="D27" s="83"/>
      <c r="E27" s="83"/>
      <c r="F27" s="83"/>
      <c r="G27" s="83"/>
      <c r="H27" s="83"/>
    </row>
    <row r="28" spans="1:9" ht="9" customHeight="1" x14ac:dyDescent="0.55000000000000004">
      <c r="A28" s="60"/>
      <c r="B28" s="60"/>
      <c r="C28" s="60"/>
      <c r="D28" s="60"/>
      <c r="E28" s="60"/>
      <c r="F28" s="60"/>
      <c r="G28" s="60"/>
      <c r="H28" s="60"/>
      <c r="I28" s="60"/>
    </row>
    <row r="29" spans="1:9" ht="24.75" customHeight="1" x14ac:dyDescent="0.75">
      <c r="A29" s="94" t="s">
        <v>295</v>
      </c>
    </row>
    <row r="30" spans="1:9" x14ac:dyDescent="0.55000000000000004">
      <c r="A30" s="209" t="s">
        <v>296</v>
      </c>
      <c r="B30" s="209"/>
      <c r="C30" s="209"/>
      <c r="D30" s="209"/>
      <c r="E30" s="209"/>
      <c r="F30" s="209"/>
      <c r="G30" s="209"/>
      <c r="H30" s="209"/>
      <c r="I30" s="209"/>
    </row>
    <row r="31" spans="1:9" ht="16.5" customHeight="1" x14ac:dyDescent="0.55000000000000004">
      <c r="A31" s="209" t="s">
        <v>297</v>
      </c>
      <c r="B31" s="209"/>
      <c r="C31" s="209"/>
      <c r="D31" s="209"/>
      <c r="E31" s="209"/>
      <c r="F31" s="209"/>
      <c r="G31" s="209"/>
      <c r="H31" s="209"/>
      <c r="I31" s="209"/>
    </row>
    <row r="33" spans="1:9" x14ac:dyDescent="0.55000000000000004">
      <c r="A33" s="210" t="s">
        <v>298</v>
      </c>
      <c r="B33" s="210"/>
      <c r="C33" s="210"/>
      <c r="D33" s="210"/>
      <c r="E33" s="210"/>
      <c r="F33" s="210"/>
      <c r="G33" s="210"/>
      <c r="H33" s="210"/>
      <c r="I33" s="210"/>
    </row>
    <row r="34" spans="1:9" ht="20.25" x14ac:dyDescent="0.55000000000000004">
      <c r="A34" s="68" t="s">
        <v>15</v>
      </c>
      <c r="B34" s="69" t="s">
        <v>16</v>
      </c>
      <c r="C34" s="69" t="s">
        <v>17</v>
      </c>
      <c r="D34" s="69" t="s">
        <v>18</v>
      </c>
      <c r="E34" s="69" t="s">
        <v>19</v>
      </c>
      <c r="F34" s="69" t="s">
        <v>20</v>
      </c>
      <c r="G34" s="69" t="s">
        <v>21</v>
      </c>
      <c r="H34" s="69" t="s">
        <v>22</v>
      </c>
    </row>
    <row r="35" spans="1:9" ht="14.25" customHeight="1" x14ac:dyDescent="0.55000000000000004">
      <c r="A35" s="70" t="s">
        <v>23</v>
      </c>
      <c r="B35" s="71"/>
      <c r="C35" s="71"/>
      <c r="D35" s="71"/>
      <c r="E35" s="71"/>
      <c r="F35" s="71"/>
      <c r="G35" s="72">
        <v>0</v>
      </c>
      <c r="H35" s="72">
        <v>0</v>
      </c>
    </row>
    <row r="36" spans="1:9" ht="14.25" customHeight="1" x14ac:dyDescent="0.55000000000000004">
      <c r="A36" s="73" t="s">
        <v>23</v>
      </c>
      <c r="B36" s="74"/>
      <c r="C36" s="74"/>
      <c r="D36" s="74"/>
      <c r="E36" s="74"/>
      <c r="F36" s="74"/>
      <c r="G36" s="75">
        <v>0</v>
      </c>
      <c r="H36" s="75">
        <v>0</v>
      </c>
    </row>
    <row r="37" spans="1:9" ht="14.25" customHeight="1" x14ac:dyDescent="0.55000000000000004">
      <c r="A37" s="70" t="s">
        <v>23</v>
      </c>
      <c r="B37" s="71"/>
      <c r="C37" s="71"/>
      <c r="D37" s="71"/>
      <c r="E37" s="71"/>
      <c r="F37" s="71"/>
      <c r="G37" s="72">
        <v>0</v>
      </c>
      <c r="H37" s="72">
        <v>0</v>
      </c>
    </row>
    <row r="38" spans="1:9" ht="15" customHeight="1" x14ac:dyDescent="0.55000000000000004">
      <c r="A38" s="76" t="s">
        <v>24</v>
      </c>
      <c r="B38" s="77" t="s">
        <v>25</v>
      </c>
      <c r="C38" s="77"/>
      <c r="D38" s="77"/>
      <c r="E38" s="77"/>
      <c r="F38" s="78" t="s">
        <v>23</v>
      </c>
      <c r="G38" s="79">
        <f>SUMIFS(BUDGET[Total Cost LC],BUDGET[Output
Code],BUDGET[[#This Row],[Unit
Cost]])</f>
        <v>0</v>
      </c>
      <c r="H38" s="79">
        <f>SUMIFS(BUDGET[Total Cost LC],BUDGET[Output
Code],BUDGET[[#This Row],[Unit
Cost]])</f>
        <v>0</v>
      </c>
    </row>
    <row r="39" spans="1:9" ht="15.75" customHeight="1" x14ac:dyDescent="0.55000000000000004"/>
    <row r="40" spans="1:9" ht="16.5" customHeight="1" x14ac:dyDescent="0.55000000000000004">
      <c r="A40" s="209" t="s">
        <v>299</v>
      </c>
      <c r="B40" s="209"/>
      <c r="C40" s="209"/>
      <c r="D40" s="209"/>
      <c r="E40" s="209"/>
      <c r="F40" s="209"/>
      <c r="G40" s="209"/>
      <c r="H40" s="209"/>
      <c r="I40" s="209"/>
    </row>
    <row r="41" spans="1:9" ht="20.25" x14ac:dyDescent="0.55000000000000004">
      <c r="A41" s="68" t="s">
        <v>15</v>
      </c>
      <c r="B41" s="69" t="s">
        <v>16</v>
      </c>
      <c r="C41" s="69" t="s">
        <v>17</v>
      </c>
      <c r="D41" s="69" t="s">
        <v>18</v>
      </c>
      <c r="E41" s="69" t="s">
        <v>19</v>
      </c>
      <c r="F41" s="69" t="s">
        <v>20</v>
      </c>
      <c r="G41" s="69" t="s">
        <v>21</v>
      </c>
      <c r="H41" s="69" t="s">
        <v>22</v>
      </c>
    </row>
    <row r="42" spans="1:9" ht="14.25" customHeight="1" x14ac:dyDescent="0.55000000000000004">
      <c r="A42" s="73" t="s">
        <v>23</v>
      </c>
      <c r="B42" s="74"/>
      <c r="C42" s="74"/>
      <c r="D42" s="74"/>
      <c r="E42" s="74"/>
      <c r="F42" s="74"/>
      <c r="G42" s="75">
        <v>0</v>
      </c>
      <c r="H42" s="75">
        <v>0</v>
      </c>
    </row>
    <row r="43" spans="1:9" ht="14.25" customHeight="1" x14ac:dyDescent="0.55000000000000004">
      <c r="A43" s="70" t="s">
        <v>23</v>
      </c>
      <c r="B43" s="71"/>
      <c r="C43" s="71"/>
      <c r="D43" s="71"/>
      <c r="E43" s="71"/>
      <c r="F43" s="71"/>
      <c r="G43" s="72">
        <v>0</v>
      </c>
      <c r="H43" s="72">
        <v>0</v>
      </c>
    </row>
    <row r="44" spans="1:9" ht="14.25" customHeight="1" x14ac:dyDescent="0.55000000000000004">
      <c r="A44" s="73"/>
      <c r="B44" s="74"/>
      <c r="C44" s="74"/>
      <c r="D44" s="74"/>
      <c r="E44" s="74"/>
      <c r="F44" s="74"/>
      <c r="G44" s="75">
        <v>0</v>
      </c>
      <c r="H44" s="75">
        <v>0</v>
      </c>
    </row>
    <row r="45" spans="1:9" ht="14.25" customHeight="1" x14ac:dyDescent="0.55000000000000004">
      <c r="A45" s="70" t="s">
        <v>23</v>
      </c>
      <c r="B45" s="71"/>
      <c r="C45" s="71"/>
      <c r="D45" s="71"/>
      <c r="E45" s="71"/>
      <c r="F45" s="71"/>
      <c r="G45" s="72">
        <v>0</v>
      </c>
      <c r="H45" s="72">
        <v>0</v>
      </c>
    </row>
    <row r="46" spans="1:9" x14ac:dyDescent="0.55000000000000004">
      <c r="A46" s="76" t="s">
        <v>24</v>
      </c>
      <c r="B46" s="77" t="s">
        <v>25</v>
      </c>
      <c r="C46" s="77"/>
      <c r="D46" s="77"/>
      <c r="E46" s="77"/>
      <c r="F46" s="78" t="s">
        <v>23</v>
      </c>
      <c r="G46" s="79">
        <f>SUMIFS(BUDGET[Total Cost LC],BUDGET[Output
Code],BUDGET[[#This Row],[Unit
Cost]])</f>
        <v>0</v>
      </c>
      <c r="H46" s="79">
        <f>SUMIFS(BUDGET[Total Cost LC],BUDGET[Output
Code],BUDGET[[#This Row],[Unit
Cost]])</f>
        <v>0</v>
      </c>
    </row>
    <row r="48" spans="1:9" s="2" customFormat="1" x14ac:dyDescent="0.45">
      <c r="A48" s="90" t="s">
        <v>300</v>
      </c>
      <c r="B48" s="89" t="s">
        <v>301</v>
      </c>
      <c r="C48" s="89"/>
      <c r="D48" s="89"/>
      <c r="E48" s="89"/>
      <c r="F48" s="89"/>
      <c r="G48" s="89"/>
      <c r="H48" s="89"/>
      <c r="I48" s="85"/>
    </row>
    <row r="50" spans="1:9" x14ac:dyDescent="0.55000000000000004">
      <c r="A50" s="210" t="s">
        <v>302</v>
      </c>
      <c r="B50" s="210"/>
      <c r="C50" s="210"/>
      <c r="D50" s="210"/>
      <c r="E50" s="210"/>
      <c r="F50" s="210"/>
      <c r="G50" s="210"/>
      <c r="H50" s="210"/>
      <c r="I50" s="210"/>
    </row>
    <row r="51" spans="1:9" ht="16.5" customHeight="1" x14ac:dyDescent="0.55000000000000004">
      <c r="A51" s="209" t="s">
        <v>303</v>
      </c>
      <c r="B51" s="209"/>
      <c r="C51" s="209"/>
      <c r="D51" s="209"/>
      <c r="E51" s="209"/>
      <c r="F51" s="209"/>
      <c r="G51" s="209"/>
      <c r="H51" s="209"/>
      <c r="I51" s="209"/>
    </row>
    <row r="52" spans="1:9" ht="20.25" x14ac:dyDescent="0.55000000000000004">
      <c r="A52" s="68" t="s">
        <v>15</v>
      </c>
      <c r="B52" s="69" t="s">
        <v>16</v>
      </c>
      <c r="C52" s="69" t="s">
        <v>17</v>
      </c>
      <c r="D52" s="69" t="s">
        <v>18</v>
      </c>
      <c r="E52" s="69" t="s">
        <v>19</v>
      </c>
      <c r="F52" s="69" t="s">
        <v>20</v>
      </c>
      <c r="G52" s="69" t="s">
        <v>21</v>
      </c>
      <c r="H52" s="69" t="s">
        <v>22</v>
      </c>
    </row>
    <row r="53" spans="1:9" x14ac:dyDescent="0.55000000000000004">
      <c r="A53" s="91" t="s">
        <v>23</v>
      </c>
      <c r="B53" s="91" t="s">
        <v>304</v>
      </c>
      <c r="C53" s="91">
        <v>500</v>
      </c>
      <c r="D53" s="91">
        <v>1000</v>
      </c>
      <c r="E53" s="91" t="s">
        <v>305</v>
      </c>
      <c r="F53" s="91">
        <v>15</v>
      </c>
      <c r="G53" s="92">
        <f>+D53*F53</f>
        <v>15000</v>
      </c>
      <c r="H53" s="92">
        <f>+G53*1.485364</f>
        <v>22280.46</v>
      </c>
    </row>
    <row r="55" spans="1:9" s="67" customFormat="1" ht="12" customHeight="1" x14ac:dyDescent="0.35">
      <c r="A55" s="65"/>
      <c r="B55" s="80" t="s">
        <v>306</v>
      </c>
      <c r="C55" s="81" t="s">
        <v>307</v>
      </c>
      <c r="D55" s="82"/>
      <c r="E55" s="82"/>
      <c r="F55" s="82"/>
      <c r="G55" s="82"/>
      <c r="H55" s="82"/>
    </row>
    <row r="56" spans="1:9" s="67" customFormat="1" ht="24.75" customHeight="1" x14ac:dyDescent="0.35">
      <c r="A56" s="65"/>
      <c r="B56" s="80" t="s">
        <v>16</v>
      </c>
      <c r="C56" s="212" t="s">
        <v>308</v>
      </c>
      <c r="D56" s="212"/>
      <c r="E56" s="212"/>
      <c r="F56" s="212"/>
      <c r="G56" s="212"/>
      <c r="H56" s="212"/>
    </row>
    <row r="57" spans="1:9" s="67" customFormat="1" ht="27" customHeight="1" x14ac:dyDescent="0.35">
      <c r="A57" s="65"/>
      <c r="B57" s="80" t="s">
        <v>164</v>
      </c>
      <c r="C57" s="212" t="s">
        <v>309</v>
      </c>
      <c r="D57" s="212"/>
      <c r="E57" s="212"/>
      <c r="F57" s="212"/>
      <c r="G57" s="212"/>
      <c r="H57" s="212"/>
    </row>
    <row r="58" spans="1:9" s="67" customFormat="1" ht="12" customHeight="1" x14ac:dyDescent="0.35">
      <c r="A58" s="65"/>
      <c r="B58" s="80" t="s">
        <v>18</v>
      </c>
      <c r="C58" s="81" t="s">
        <v>310</v>
      </c>
      <c r="D58" s="82"/>
      <c r="E58" s="82"/>
      <c r="F58" s="82"/>
      <c r="G58" s="82"/>
      <c r="H58" s="82"/>
    </row>
    <row r="59" spans="1:9" s="67" customFormat="1" ht="12" customHeight="1" x14ac:dyDescent="0.35">
      <c r="A59" s="65"/>
      <c r="B59" s="80" t="s">
        <v>19</v>
      </c>
      <c r="C59" s="81" t="s">
        <v>311</v>
      </c>
      <c r="D59" s="82"/>
      <c r="E59" s="82"/>
      <c r="F59" s="82"/>
      <c r="G59" s="82"/>
      <c r="H59" s="82"/>
    </row>
    <row r="60" spans="1:9" s="67" customFormat="1" ht="12" customHeight="1" x14ac:dyDescent="0.35">
      <c r="A60" s="65"/>
      <c r="B60" s="80" t="s">
        <v>312</v>
      </c>
      <c r="C60" s="81" t="s">
        <v>313</v>
      </c>
      <c r="D60" s="82"/>
      <c r="E60" s="82"/>
      <c r="F60" s="82"/>
      <c r="G60" s="82"/>
      <c r="H60" s="82"/>
    </row>
    <row r="61" spans="1:9" s="67" customFormat="1" ht="12" customHeight="1" x14ac:dyDescent="0.35">
      <c r="A61" s="65"/>
      <c r="B61" s="80" t="s">
        <v>21</v>
      </c>
      <c r="C61" s="81" t="s">
        <v>314</v>
      </c>
      <c r="D61" s="82"/>
      <c r="E61" s="82"/>
      <c r="F61" s="82"/>
      <c r="G61" s="82"/>
      <c r="H61" s="82"/>
    </row>
    <row r="62" spans="1:9" s="67" customFormat="1" ht="12" customHeight="1" x14ac:dyDescent="0.35">
      <c r="A62" s="65"/>
      <c r="B62" s="80" t="s">
        <v>22</v>
      </c>
      <c r="C62" s="81" t="s">
        <v>315</v>
      </c>
      <c r="D62" s="82"/>
      <c r="E62" s="82"/>
      <c r="F62" s="82"/>
      <c r="G62" s="82"/>
      <c r="H62" s="82"/>
    </row>
    <row r="63" spans="1:9" x14ac:dyDescent="0.55000000000000004">
      <c r="A63" s="62"/>
      <c r="B63" s="62"/>
      <c r="C63" s="62"/>
      <c r="D63" s="62"/>
      <c r="E63" s="62"/>
      <c r="F63" s="62"/>
      <c r="G63" s="62"/>
      <c r="H63" s="62"/>
      <c r="I63" s="62"/>
    </row>
    <row r="64" spans="1:9" s="2" customFormat="1" x14ac:dyDescent="0.45">
      <c r="A64" s="90" t="s">
        <v>300</v>
      </c>
      <c r="B64" s="89" t="s">
        <v>316</v>
      </c>
      <c r="C64" s="89"/>
      <c r="D64" s="89"/>
      <c r="E64" s="89"/>
      <c r="F64" s="89"/>
      <c r="G64" s="89"/>
      <c r="H64" s="89"/>
      <c r="I64" s="85"/>
    </row>
    <row r="67" spans="1:9" x14ac:dyDescent="0.55000000000000004">
      <c r="A67" s="210" t="s">
        <v>317</v>
      </c>
      <c r="B67" s="210"/>
      <c r="C67" s="210"/>
      <c r="D67" s="210"/>
      <c r="E67" s="210"/>
      <c r="F67" s="210"/>
      <c r="G67" s="210"/>
      <c r="H67" s="210"/>
      <c r="I67" s="210"/>
    </row>
    <row r="68" spans="1:9" x14ac:dyDescent="0.55000000000000004">
      <c r="A68" s="209" t="s">
        <v>318</v>
      </c>
      <c r="B68" s="209"/>
      <c r="C68" s="209"/>
      <c r="D68" s="209"/>
      <c r="E68" s="209"/>
      <c r="F68" s="209"/>
      <c r="G68" s="209"/>
      <c r="H68" s="209"/>
      <c r="I68" s="209"/>
    </row>
    <row r="69" spans="1:9" x14ac:dyDescent="0.55000000000000004">
      <c r="A69" s="86" t="s">
        <v>319</v>
      </c>
      <c r="B69" s="86" t="s">
        <v>320</v>
      </c>
    </row>
    <row r="70" spans="1:9" x14ac:dyDescent="0.55000000000000004">
      <c r="A70" s="93"/>
      <c r="E70" s="86"/>
    </row>
    <row r="76" spans="1:9" x14ac:dyDescent="0.55000000000000004">
      <c r="E76" s="7"/>
    </row>
    <row r="82" spans="1:9" x14ac:dyDescent="0.55000000000000004">
      <c r="E82" s="86" t="s">
        <v>321</v>
      </c>
      <c r="F82" s="210" t="s">
        <v>322</v>
      </c>
      <c r="G82" s="210"/>
      <c r="H82" s="210"/>
      <c r="I82" s="210"/>
    </row>
    <row r="83" spans="1:9" x14ac:dyDescent="0.55000000000000004">
      <c r="F83" s="210"/>
      <c r="G83" s="210"/>
      <c r="H83" s="210"/>
      <c r="I83" s="210"/>
    </row>
    <row r="88" spans="1:9" x14ac:dyDescent="0.55000000000000004">
      <c r="A88" s="3" t="s">
        <v>323</v>
      </c>
      <c r="B88" s="3" t="s">
        <v>324</v>
      </c>
    </row>
    <row r="89" spans="1:9" x14ac:dyDescent="0.55000000000000004">
      <c r="A89" s="3" t="s">
        <v>325</v>
      </c>
      <c r="B89" s="211" t="s">
        <v>326</v>
      </c>
      <c r="C89" s="211"/>
      <c r="D89" s="211"/>
    </row>
    <row r="90" spans="1:9" x14ac:dyDescent="0.55000000000000004">
      <c r="B90" s="211"/>
      <c r="C90" s="211"/>
      <c r="D90" s="211"/>
    </row>
    <row r="91" spans="1:9" x14ac:dyDescent="0.55000000000000004">
      <c r="A91" s="3" t="s">
        <v>327</v>
      </c>
      <c r="B91" s="3" t="s">
        <v>328</v>
      </c>
    </row>
    <row r="93" spans="1:9" x14ac:dyDescent="0.55000000000000004">
      <c r="A93" s="95"/>
      <c r="B93" s="95"/>
    </row>
    <row r="94" spans="1:9" x14ac:dyDescent="0.55000000000000004">
      <c r="A94" s="95"/>
      <c r="B94" s="95"/>
    </row>
    <row r="96" spans="1:9" x14ac:dyDescent="0.55000000000000004">
      <c r="A96" s="84"/>
      <c r="B96" s="88" t="s">
        <v>329</v>
      </c>
      <c r="C96" s="88"/>
      <c r="D96" s="84"/>
      <c r="E96" s="84"/>
      <c r="F96" s="84"/>
      <c r="G96" s="84"/>
      <c r="H96" s="84"/>
      <c r="I96" s="84"/>
    </row>
    <row r="97" spans="1:9" x14ac:dyDescent="0.55000000000000004">
      <c r="A97" s="209" t="s">
        <v>330</v>
      </c>
      <c r="B97" s="209"/>
      <c r="C97" s="209"/>
      <c r="D97" s="209"/>
      <c r="E97" s="209"/>
      <c r="F97" s="209"/>
      <c r="G97" s="209"/>
      <c r="H97" s="209"/>
      <c r="I97" s="209"/>
    </row>
    <row r="98" spans="1:9" x14ac:dyDescent="0.55000000000000004">
      <c r="A98" s="209" t="s">
        <v>331</v>
      </c>
      <c r="B98" s="209"/>
      <c r="C98" s="209"/>
      <c r="D98" s="209"/>
      <c r="E98" s="209"/>
      <c r="F98" s="209"/>
      <c r="G98" s="209"/>
      <c r="H98" s="209"/>
      <c r="I98" s="209"/>
    </row>
    <row r="100" spans="1:9" x14ac:dyDescent="0.55000000000000004">
      <c r="A100" s="84"/>
      <c r="B100" s="84"/>
      <c r="C100" s="199" t="s">
        <v>332</v>
      </c>
      <c r="D100" s="200"/>
      <c r="E100" s="200"/>
      <c r="F100" s="84"/>
      <c r="G100" s="84"/>
      <c r="H100" s="84"/>
      <c r="I100" s="84"/>
    </row>
    <row r="101" spans="1:9" x14ac:dyDescent="0.55000000000000004">
      <c r="A101" s="209" t="s">
        <v>333</v>
      </c>
      <c r="B101" s="209"/>
      <c r="C101" s="209"/>
      <c r="D101" s="209"/>
      <c r="E101" s="209"/>
      <c r="F101" s="209"/>
      <c r="G101" s="209"/>
      <c r="H101" s="209"/>
      <c r="I101" s="209"/>
    </row>
    <row r="102" spans="1:9" x14ac:dyDescent="0.55000000000000004">
      <c r="A102" s="209" t="s">
        <v>334</v>
      </c>
      <c r="B102" s="209"/>
      <c r="C102" s="209"/>
      <c r="D102" s="209"/>
      <c r="E102" s="209"/>
      <c r="F102" s="209"/>
      <c r="G102" s="209"/>
      <c r="H102" s="209"/>
      <c r="I102" s="209"/>
    </row>
    <row r="104" spans="1:9" x14ac:dyDescent="0.55000000000000004">
      <c r="A104" s="84"/>
      <c r="B104" s="84"/>
      <c r="C104" s="84"/>
      <c r="D104" s="199" t="s">
        <v>335</v>
      </c>
      <c r="E104" s="199"/>
      <c r="F104" s="199"/>
      <c r="G104" s="84"/>
      <c r="H104" s="84"/>
      <c r="I104" s="84"/>
    </row>
    <row r="105" spans="1:9" ht="34.5" customHeight="1" x14ac:dyDescent="0.55000000000000004">
      <c r="A105" s="209" t="s">
        <v>336</v>
      </c>
      <c r="B105" s="209"/>
      <c r="C105" s="209"/>
      <c r="D105" s="209"/>
      <c r="E105" s="209"/>
      <c r="F105" s="209"/>
      <c r="G105" s="209"/>
      <c r="H105" s="209"/>
      <c r="I105" s="209"/>
    </row>
    <row r="106" spans="1:9" x14ac:dyDescent="0.55000000000000004">
      <c r="A106" s="209" t="s">
        <v>337</v>
      </c>
      <c r="B106" s="209"/>
      <c r="C106" s="209"/>
      <c r="D106" s="209"/>
      <c r="E106" s="209"/>
      <c r="F106" s="209"/>
      <c r="G106" s="209"/>
      <c r="H106" s="209"/>
      <c r="I106" s="209"/>
    </row>
    <row r="108" spans="1:9" x14ac:dyDescent="0.55000000000000004">
      <c r="A108" s="96"/>
      <c r="B108" s="96"/>
      <c r="C108" s="96"/>
      <c r="D108" s="96"/>
      <c r="E108" s="98" t="s">
        <v>338</v>
      </c>
      <c r="F108" s="97"/>
      <c r="G108" s="96"/>
      <c r="H108" s="96"/>
      <c r="I108" s="96"/>
    </row>
    <row r="109" spans="1:9" ht="16.5" customHeight="1" x14ac:dyDescent="0.55000000000000004">
      <c r="A109" s="209" t="s">
        <v>339</v>
      </c>
      <c r="B109" s="209"/>
      <c r="C109" s="209"/>
      <c r="D109" s="209"/>
      <c r="E109" s="209"/>
      <c r="F109" s="209"/>
      <c r="G109" s="209"/>
      <c r="H109" s="209"/>
      <c r="I109" s="209"/>
    </row>
    <row r="111" spans="1:9" x14ac:dyDescent="0.55000000000000004">
      <c r="A111" s="96"/>
      <c r="B111" s="96"/>
      <c r="C111" s="96"/>
      <c r="D111" s="96"/>
      <c r="E111" s="96"/>
      <c r="F111" s="96"/>
      <c r="G111" s="106" t="s">
        <v>340</v>
      </c>
      <c r="H111" s="106"/>
      <c r="I111" s="96"/>
    </row>
    <row r="112" spans="1:9" x14ac:dyDescent="0.55000000000000004">
      <c r="A112" s="209" t="s">
        <v>341</v>
      </c>
      <c r="B112" s="209"/>
      <c r="C112" s="209"/>
      <c r="D112" s="209"/>
      <c r="E112" s="209"/>
      <c r="F112" s="209"/>
      <c r="G112" s="209"/>
      <c r="H112" s="209"/>
      <c r="I112" s="209"/>
    </row>
    <row r="113" spans="1:9" ht="33.75" customHeight="1" x14ac:dyDescent="0.55000000000000004">
      <c r="A113" s="209" t="s">
        <v>342</v>
      </c>
      <c r="B113" s="209"/>
      <c r="C113" s="209"/>
      <c r="D113" s="209"/>
      <c r="E113" s="209"/>
      <c r="F113" s="209"/>
      <c r="G113" s="209"/>
      <c r="H113" s="209"/>
      <c r="I113" s="209"/>
    </row>
    <row r="114" spans="1:9" x14ac:dyDescent="0.55000000000000004">
      <c r="A114" s="108" t="s">
        <v>343</v>
      </c>
      <c r="B114" s="91"/>
      <c r="C114" s="108" t="s">
        <v>344</v>
      </c>
      <c r="D114" s="108" t="s">
        <v>345</v>
      </c>
      <c r="E114" s="108" t="s">
        <v>346</v>
      </c>
      <c r="F114" s="108" t="s">
        <v>347</v>
      </c>
      <c r="G114" s="108" t="s">
        <v>348</v>
      </c>
      <c r="H114" s="108" t="s">
        <v>349</v>
      </c>
    </row>
    <row r="115" spans="1:9" ht="16.149999999999999" thickBot="1" x14ac:dyDescent="0.6">
      <c r="A115" s="107" t="s">
        <v>16</v>
      </c>
      <c r="B115" s="104"/>
      <c r="C115" s="104" t="s">
        <v>18</v>
      </c>
      <c r="D115" s="104" t="s">
        <v>19</v>
      </c>
      <c r="E115" s="104" t="s">
        <v>350</v>
      </c>
      <c r="F115" s="105" t="s">
        <v>351</v>
      </c>
      <c r="G115" s="105" t="s">
        <v>352</v>
      </c>
      <c r="H115" s="104" t="s">
        <v>353</v>
      </c>
    </row>
    <row r="116" spans="1:9" x14ac:dyDescent="0.55000000000000004">
      <c r="A116" s="109" t="s">
        <v>354</v>
      </c>
      <c r="B116" s="91"/>
      <c r="C116" s="109">
        <v>2000</v>
      </c>
      <c r="D116" s="109" t="s">
        <v>355</v>
      </c>
      <c r="E116" s="110">
        <v>25</v>
      </c>
      <c r="F116" s="111">
        <v>510</v>
      </c>
      <c r="G116" s="111" t="s">
        <v>33</v>
      </c>
      <c r="H116" s="112">
        <v>72634</v>
      </c>
    </row>
    <row r="117" spans="1:9" x14ac:dyDescent="0.55000000000000004">
      <c r="A117" s="109" t="s">
        <v>356</v>
      </c>
      <c r="B117" s="91"/>
      <c r="C117" s="109">
        <v>30</v>
      </c>
      <c r="D117" s="109" t="s">
        <v>357</v>
      </c>
      <c r="E117" s="110">
        <v>900</v>
      </c>
      <c r="F117" s="111">
        <v>670</v>
      </c>
      <c r="G117" s="111" t="s">
        <v>50</v>
      </c>
      <c r="H117" s="112">
        <v>39222.36</v>
      </c>
    </row>
    <row r="118" spans="1:9" x14ac:dyDescent="0.55000000000000004">
      <c r="A118" s="109" t="s">
        <v>358</v>
      </c>
      <c r="B118" s="91"/>
      <c r="C118" s="109">
        <v>1</v>
      </c>
      <c r="D118" s="109" t="s">
        <v>359</v>
      </c>
      <c r="E118" s="110">
        <v>1000</v>
      </c>
      <c r="F118" s="111">
        <v>700</v>
      </c>
      <c r="G118" s="111" t="s">
        <v>127</v>
      </c>
      <c r="H118" s="112">
        <v>1452.68</v>
      </c>
    </row>
    <row r="119" spans="1:9" x14ac:dyDescent="0.55000000000000004">
      <c r="A119" s="109" t="s">
        <v>360</v>
      </c>
      <c r="B119" s="91"/>
      <c r="C119" s="109">
        <v>1</v>
      </c>
      <c r="D119" s="109" t="s">
        <v>359</v>
      </c>
      <c r="E119" s="110">
        <v>300</v>
      </c>
      <c r="F119" s="111">
        <v>700</v>
      </c>
      <c r="G119" s="111" t="s">
        <v>77</v>
      </c>
      <c r="H119" s="112">
        <v>435.8</v>
      </c>
    </row>
    <row r="122" spans="1:9" x14ac:dyDescent="0.55000000000000004">
      <c r="A122" s="1" t="s">
        <v>361</v>
      </c>
    </row>
    <row r="123" spans="1:9" x14ac:dyDescent="0.55000000000000004">
      <c r="A123" s="118" t="s">
        <v>362</v>
      </c>
    </row>
  </sheetData>
  <sheetProtection algorithmName="SHA-512" hashValue="oWqolaU9pfRvfisCFtajps739mr6FZ+Ng8EBHl1JC82StkhR+8eTG4FmO79cWLhEccnL4d9BXrbxK573JPEkDg==" saltValue="Jxopfw8VrBQB5KG5V3/9vQ==" spinCount="100000" sheet="1" objects="1" scenarios="1"/>
  <mergeCells count="29">
    <mergeCell ref="A6:I6"/>
    <mergeCell ref="A8:I8"/>
    <mergeCell ref="A7:I7"/>
    <mergeCell ref="A12:I12"/>
    <mergeCell ref="A68:I68"/>
    <mergeCell ref="C26:H26"/>
    <mergeCell ref="C57:H57"/>
    <mergeCell ref="C56:H56"/>
    <mergeCell ref="A67:I67"/>
    <mergeCell ref="A30:I30"/>
    <mergeCell ref="A31:I31"/>
    <mergeCell ref="A33:I33"/>
    <mergeCell ref="A40:I40"/>
    <mergeCell ref="A50:I50"/>
    <mergeCell ref="A51:I51"/>
    <mergeCell ref="A113:I113"/>
    <mergeCell ref="A112:I112"/>
    <mergeCell ref="A11:I11"/>
    <mergeCell ref="A109:I109"/>
    <mergeCell ref="A18:I18"/>
    <mergeCell ref="A21:I21"/>
    <mergeCell ref="F82:I83"/>
    <mergeCell ref="B89:D90"/>
    <mergeCell ref="A97:I97"/>
    <mergeCell ref="A98:I98"/>
    <mergeCell ref="A105:I105"/>
    <mergeCell ref="A106:I106"/>
    <mergeCell ref="A101:I101"/>
    <mergeCell ref="A102:I102"/>
  </mergeCells>
  <conditionalFormatting sqref="A35:A38 A42:A45">
    <cfRule type="containsBlanks" dxfId="153" priority="3">
      <formula>LEN(TRIM(A35))=0</formula>
    </cfRule>
  </conditionalFormatting>
  <conditionalFormatting sqref="A46">
    <cfRule type="containsBlanks" dxfId="152" priority="1">
      <formula>LEN(TRIM(A46))=0</formula>
    </cfRule>
  </conditionalFormatting>
  <hyperlinks>
    <hyperlink ref="A13" r:id="rId1" xr:uid="{14EC728B-4195-4BA8-80D8-9200AFC6B865}"/>
  </hyperlinks>
  <pageMargins left="0.39370078740157483" right="0.39370078740157483" top="0.39370078740157483" bottom="0.6692913385826772" header="0.31496062992125984" footer="0.31496062992125984"/>
  <pageSetup paperSize="9" scale="95" orientation="portrait" horizontalDpi="1200" verticalDpi="1200" r:id="rId2"/>
  <headerFooter>
    <oddFooter>&amp;L&amp;1#&amp;"Calibri,Regular"&amp;10&amp;K000000Internal&amp;R&amp;10&amp;P/&amp;N</oddFooter>
  </headerFooter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32FBDE9-6EF9-4C72-B956-E65A43367B26}">
          <x14:formula1>
            <xm:f>budget_groups!$A$4:$A$54</xm:f>
          </x14:formula1>
          <xm:sqref>C35:C38 C42:C46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811E0-BEC4-4942-8C6E-8470D5A24F17}">
  <sheetPr codeName="Sheet7">
    <tabColor theme="4" tint="0.79998168889431442"/>
  </sheetPr>
  <dimension ref="A1:I111"/>
  <sheetViews>
    <sheetView workbookViewId="0">
      <selection activeCell="E7" sqref="E7"/>
    </sheetView>
  </sheetViews>
  <sheetFormatPr defaultColWidth="9.1328125" defaultRowHeight="11.25" x14ac:dyDescent="0.3"/>
  <cols>
    <col min="1" max="1" width="10.3984375" style="113" customWidth="1"/>
    <col min="2" max="2" width="11.3984375" style="113" customWidth="1"/>
    <col min="3" max="3" width="42.1328125" style="113" bestFit="1" customWidth="1"/>
    <col min="4" max="4" width="15.3984375" style="113" customWidth="1"/>
    <col min="5" max="5" width="9.1328125" style="113"/>
    <col min="6" max="6" width="15.3984375" style="113" customWidth="1"/>
    <col min="7" max="7" width="12" style="114" customWidth="1"/>
    <col min="8" max="8" width="10.265625" style="114" customWidth="1"/>
    <col min="9" max="9" width="21" style="113" bestFit="1" customWidth="1"/>
    <col min="10" max="16384" width="9.1328125" style="113"/>
  </cols>
  <sheetData>
    <row r="1" spans="1:9" s="119" customFormat="1" ht="15" x14ac:dyDescent="0.55000000000000004">
      <c r="A1" s="15" t="s">
        <v>0</v>
      </c>
      <c r="I1" s="120" t="s">
        <v>1</v>
      </c>
    </row>
    <row r="2" spans="1:9" s="119" customFormat="1" ht="27" x14ac:dyDescent="0.95">
      <c r="A2" s="30" t="s">
        <v>363</v>
      </c>
      <c r="C2" s="123" t="s">
        <v>364</v>
      </c>
      <c r="H2" s="121" t="s">
        <v>3</v>
      </c>
    </row>
    <row r="4" spans="1:9" ht="23.25" customHeight="1" x14ac:dyDescent="0.3">
      <c r="A4" s="214" t="s">
        <v>365</v>
      </c>
      <c r="B4" s="214"/>
      <c r="C4" s="213" t="s">
        <v>366</v>
      </c>
      <c r="D4" s="213"/>
      <c r="E4" s="213"/>
      <c r="F4" s="213"/>
      <c r="G4" s="213"/>
      <c r="H4" s="213"/>
      <c r="I4" s="117" t="s">
        <v>367</v>
      </c>
    </row>
    <row r="5" spans="1:9" x14ac:dyDescent="0.3">
      <c r="C5" s="116" t="s">
        <v>368</v>
      </c>
      <c r="D5" s="116" t="s">
        <v>344</v>
      </c>
      <c r="E5" s="116" t="s">
        <v>345</v>
      </c>
      <c r="F5" s="116" t="s">
        <v>346</v>
      </c>
      <c r="G5" s="116" t="s">
        <v>347</v>
      </c>
      <c r="H5" s="116" t="s">
        <v>348</v>
      </c>
      <c r="I5" s="116" t="s">
        <v>349</v>
      </c>
    </row>
    <row r="6" spans="1:9" s="115" customFormat="1" ht="15" customHeight="1" x14ac:dyDescent="0.45">
      <c r="A6" s="203" t="s">
        <v>369</v>
      </c>
      <c r="B6" s="203" t="s">
        <v>370</v>
      </c>
      <c r="C6" s="122" t="s">
        <v>16</v>
      </c>
      <c r="D6" s="122" t="s">
        <v>18</v>
      </c>
      <c r="E6" s="122" t="s">
        <v>19</v>
      </c>
      <c r="F6" s="122" t="s">
        <v>350</v>
      </c>
      <c r="G6" s="202" t="s">
        <v>371</v>
      </c>
      <c r="H6" s="202" t="s">
        <v>372</v>
      </c>
      <c r="I6" s="122" t="s">
        <v>353</v>
      </c>
    </row>
    <row r="7" spans="1:9" ht="14.25" x14ac:dyDescent="0.45">
      <c r="A7" t="s">
        <v>373</v>
      </c>
      <c r="B7" t="s">
        <v>23</v>
      </c>
      <c r="C7" t="s">
        <v>374</v>
      </c>
      <c r="D7" s="207">
        <v>1</v>
      </c>
      <c r="E7">
        <v>2</v>
      </c>
      <c r="F7" s="206" t="s">
        <v>375</v>
      </c>
      <c r="G7">
        <v>520</v>
      </c>
      <c r="H7" t="s">
        <v>23</v>
      </c>
      <c r="I7" s="201">
        <v>3000</v>
      </c>
    </row>
    <row r="8" spans="1:9" ht="14.65" thickBot="1" x14ac:dyDescent="0.5">
      <c r="A8" s="205" t="s">
        <v>376</v>
      </c>
      <c r="B8" s="205"/>
      <c r="C8" s="205"/>
      <c r="D8" s="205"/>
      <c r="E8" s="205"/>
      <c r="F8" s="205"/>
      <c r="G8" s="205"/>
      <c r="H8" s="205"/>
      <c r="I8" s="204">
        <v>3000</v>
      </c>
    </row>
    <row r="9" spans="1:9" ht="14.25" x14ac:dyDescent="0.45">
      <c r="A9"/>
      <c r="B9"/>
      <c r="C9"/>
      <c r="D9"/>
      <c r="E9"/>
      <c r="F9"/>
      <c r="G9"/>
      <c r="H9"/>
      <c r="I9"/>
    </row>
    <row r="10" spans="1:9" ht="14.25" x14ac:dyDescent="0.45">
      <c r="A10"/>
      <c r="B10"/>
      <c r="C10"/>
      <c r="D10"/>
      <c r="E10"/>
      <c r="F10"/>
      <c r="G10"/>
      <c r="H10"/>
      <c r="I10"/>
    </row>
    <row r="11" spans="1:9" ht="14.25" x14ac:dyDescent="0.45">
      <c r="A11"/>
      <c r="B11"/>
      <c r="C11"/>
      <c r="D11"/>
      <c r="E11"/>
      <c r="F11"/>
      <c r="G11"/>
      <c r="H11"/>
      <c r="I11"/>
    </row>
    <row r="12" spans="1:9" ht="14.25" x14ac:dyDescent="0.45">
      <c r="A12"/>
      <c r="B12"/>
      <c r="C12"/>
      <c r="D12"/>
      <c r="E12"/>
      <c r="F12"/>
      <c r="G12"/>
      <c r="H12"/>
      <c r="I12"/>
    </row>
    <row r="13" spans="1:9" ht="14.25" x14ac:dyDescent="0.45">
      <c r="A13"/>
      <c r="B13"/>
      <c r="C13"/>
      <c r="D13"/>
      <c r="E13"/>
      <c r="F13"/>
      <c r="G13"/>
      <c r="H13"/>
      <c r="I13"/>
    </row>
    <row r="14" spans="1:9" ht="14.25" x14ac:dyDescent="0.45">
      <c r="A14"/>
      <c r="B14"/>
      <c r="C14"/>
      <c r="D14"/>
      <c r="E14"/>
      <c r="F14"/>
      <c r="G14"/>
      <c r="H14"/>
      <c r="I14"/>
    </row>
    <row r="15" spans="1:9" ht="14.25" x14ac:dyDescent="0.45">
      <c r="A15"/>
      <c r="B15"/>
      <c r="C15"/>
      <c r="D15"/>
      <c r="E15"/>
      <c r="F15"/>
      <c r="G15"/>
      <c r="H15"/>
      <c r="I15"/>
    </row>
    <row r="16" spans="1:9" ht="14.25" x14ac:dyDescent="0.45">
      <c r="A16"/>
      <c r="B16"/>
      <c r="C16"/>
      <c r="D16"/>
      <c r="E16"/>
      <c r="F16"/>
      <c r="G16"/>
      <c r="H16"/>
      <c r="I16"/>
    </row>
    <row r="17" spans="1:9" ht="14.25" x14ac:dyDescent="0.45">
      <c r="A17"/>
      <c r="B17"/>
      <c r="C17"/>
      <c r="D17"/>
      <c r="E17"/>
      <c r="F17"/>
      <c r="G17"/>
      <c r="H17"/>
      <c r="I17"/>
    </row>
    <row r="18" spans="1:9" ht="14.25" x14ac:dyDescent="0.45">
      <c r="A18"/>
      <c r="B18"/>
      <c r="C18"/>
      <c r="D18"/>
      <c r="E18"/>
      <c r="F18"/>
      <c r="G18"/>
      <c r="H18"/>
      <c r="I18"/>
    </row>
    <row r="19" spans="1:9" ht="14.25" x14ac:dyDescent="0.45">
      <c r="A19"/>
      <c r="B19"/>
      <c r="C19"/>
      <c r="D19"/>
      <c r="E19"/>
      <c r="F19"/>
      <c r="G19"/>
      <c r="H19"/>
      <c r="I19"/>
    </row>
    <row r="20" spans="1:9" ht="14.25" x14ac:dyDescent="0.45">
      <c r="A20"/>
      <c r="B20"/>
      <c r="C20"/>
      <c r="D20"/>
      <c r="E20"/>
      <c r="F20"/>
      <c r="G20"/>
      <c r="H20"/>
      <c r="I20"/>
    </row>
    <row r="21" spans="1:9" ht="14.25" x14ac:dyDescent="0.45">
      <c r="A21"/>
      <c r="B21"/>
      <c r="C21"/>
      <c r="D21"/>
      <c r="E21"/>
      <c r="F21"/>
      <c r="G21"/>
      <c r="H21"/>
      <c r="I21"/>
    </row>
    <row r="22" spans="1:9" ht="14.25" x14ac:dyDescent="0.45">
      <c r="A22"/>
      <c r="B22"/>
      <c r="C22"/>
      <c r="D22"/>
      <c r="E22"/>
      <c r="F22"/>
      <c r="G22"/>
      <c r="H22"/>
      <c r="I22"/>
    </row>
    <row r="23" spans="1:9" ht="14.25" x14ac:dyDescent="0.45">
      <c r="A23"/>
      <c r="B23"/>
      <c r="C23"/>
      <c r="D23"/>
      <c r="E23"/>
      <c r="F23"/>
      <c r="G23"/>
      <c r="H23"/>
      <c r="I23"/>
    </row>
    <row r="24" spans="1:9" ht="14.25" x14ac:dyDescent="0.45">
      <c r="A24"/>
      <c r="B24"/>
      <c r="C24"/>
      <c r="D24"/>
      <c r="E24"/>
      <c r="F24"/>
      <c r="G24"/>
      <c r="H24"/>
      <c r="I24"/>
    </row>
    <row r="25" spans="1:9" ht="14.25" x14ac:dyDescent="0.45">
      <c r="A25"/>
      <c r="B25"/>
      <c r="C25"/>
      <c r="D25"/>
      <c r="E25"/>
      <c r="F25"/>
      <c r="G25"/>
      <c r="H25"/>
      <c r="I25"/>
    </row>
    <row r="26" spans="1:9" ht="14.25" x14ac:dyDescent="0.45">
      <c r="A26"/>
      <c r="B26"/>
      <c r="C26"/>
      <c r="D26"/>
      <c r="E26"/>
      <c r="F26"/>
      <c r="G26"/>
      <c r="H26"/>
      <c r="I26"/>
    </row>
    <row r="27" spans="1:9" ht="14.25" x14ac:dyDescent="0.45">
      <c r="A27"/>
      <c r="B27"/>
      <c r="C27"/>
      <c r="D27"/>
      <c r="E27"/>
      <c r="F27"/>
      <c r="G27"/>
      <c r="H27"/>
      <c r="I27"/>
    </row>
    <row r="28" spans="1:9" ht="14.25" x14ac:dyDescent="0.45">
      <c r="A28"/>
      <c r="B28"/>
      <c r="C28"/>
      <c r="D28"/>
      <c r="E28"/>
      <c r="F28"/>
      <c r="G28"/>
      <c r="H28"/>
      <c r="I28"/>
    </row>
    <row r="29" spans="1:9" ht="14.25" x14ac:dyDescent="0.45">
      <c r="A29"/>
      <c r="B29"/>
      <c r="C29"/>
      <c r="D29"/>
      <c r="E29"/>
      <c r="F29"/>
      <c r="G29"/>
      <c r="H29"/>
      <c r="I29"/>
    </row>
    <row r="30" spans="1:9" ht="14.25" x14ac:dyDescent="0.45">
      <c r="A30"/>
      <c r="B30"/>
      <c r="C30"/>
      <c r="D30"/>
      <c r="E30"/>
      <c r="F30"/>
      <c r="G30"/>
      <c r="H30"/>
      <c r="I30"/>
    </row>
    <row r="31" spans="1:9" ht="14.25" x14ac:dyDescent="0.45">
      <c r="A31"/>
      <c r="B31"/>
      <c r="C31"/>
      <c r="D31"/>
      <c r="E31"/>
      <c r="F31"/>
      <c r="G31"/>
      <c r="H31"/>
      <c r="I31"/>
    </row>
    <row r="32" spans="1:9" ht="14.25" x14ac:dyDescent="0.45">
      <c r="A32"/>
      <c r="B32"/>
      <c r="C32"/>
      <c r="D32"/>
      <c r="E32"/>
      <c r="F32"/>
      <c r="G32"/>
      <c r="H32"/>
      <c r="I32"/>
    </row>
    <row r="33" spans="1:9" ht="14.25" x14ac:dyDescent="0.45">
      <c r="A33"/>
      <c r="B33"/>
      <c r="C33"/>
      <c r="D33"/>
      <c r="E33"/>
      <c r="F33"/>
      <c r="G33"/>
      <c r="H33"/>
      <c r="I33"/>
    </row>
    <row r="34" spans="1:9" ht="14.25" x14ac:dyDescent="0.45">
      <c r="A34"/>
      <c r="B34"/>
      <c r="C34"/>
      <c r="D34"/>
      <c r="E34"/>
      <c r="F34"/>
      <c r="G34"/>
      <c r="H34"/>
      <c r="I34"/>
    </row>
    <row r="35" spans="1:9" ht="14.25" x14ac:dyDescent="0.45">
      <c r="A35"/>
      <c r="B35"/>
      <c r="C35"/>
      <c r="D35"/>
      <c r="E35"/>
      <c r="F35"/>
      <c r="G35"/>
      <c r="H35"/>
      <c r="I35"/>
    </row>
    <row r="36" spans="1:9" ht="14.25" x14ac:dyDescent="0.45">
      <c r="A36"/>
      <c r="B36"/>
      <c r="C36"/>
      <c r="D36"/>
      <c r="E36"/>
      <c r="F36"/>
      <c r="G36"/>
      <c r="H36"/>
      <c r="I36"/>
    </row>
    <row r="37" spans="1:9" ht="14.25" x14ac:dyDescent="0.45">
      <c r="A37"/>
      <c r="B37"/>
      <c r="C37"/>
      <c r="D37"/>
      <c r="E37"/>
      <c r="F37"/>
      <c r="G37"/>
      <c r="H37"/>
      <c r="I37"/>
    </row>
    <row r="38" spans="1:9" ht="14.25" x14ac:dyDescent="0.45">
      <c r="A38"/>
      <c r="B38"/>
      <c r="C38"/>
      <c r="D38"/>
      <c r="E38"/>
      <c r="F38"/>
      <c r="G38"/>
      <c r="H38"/>
      <c r="I38"/>
    </row>
    <row r="39" spans="1:9" ht="14.25" x14ac:dyDescent="0.45">
      <c r="A39"/>
      <c r="B39"/>
      <c r="C39"/>
      <c r="D39"/>
      <c r="E39"/>
      <c r="F39"/>
      <c r="G39"/>
      <c r="H39"/>
      <c r="I39"/>
    </row>
    <row r="40" spans="1:9" ht="14.65" thickBot="1" x14ac:dyDescent="0.5">
      <c r="A40"/>
      <c r="B40"/>
      <c r="C40"/>
      <c r="D40"/>
      <c r="E40"/>
      <c r="F40"/>
      <c r="G40"/>
      <c r="H40"/>
      <c r="I40"/>
    </row>
    <row r="41" spans="1:9" ht="14.25" x14ac:dyDescent="0.45">
      <c r="A41"/>
      <c r="B41"/>
      <c r="C41"/>
      <c r="D41"/>
      <c r="E41"/>
      <c r="F41"/>
      <c r="G41"/>
      <c r="H41"/>
      <c r="I41"/>
    </row>
    <row r="42" spans="1:9" ht="14.25" x14ac:dyDescent="0.45">
      <c r="A42"/>
      <c r="B42"/>
      <c r="C42"/>
      <c r="D42"/>
      <c r="E42"/>
      <c r="F42"/>
      <c r="G42"/>
      <c r="H42"/>
      <c r="I42"/>
    </row>
    <row r="43" spans="1:9" ht="14.25" x14ac:dyDescent="0.45">
      <c r="A43"/>
      <c r="B43"/>
      <c r="C43"/>
      <c r="D43"/>
      <c r="E43"/>
      <c r="F43"/>
      <c r="G43"/>
      <c r="H43"/>
      <c r="I43"/>
    </row>
    <row r="44" spans="1:9" ht="14.25" x14ac:dyDescent="0.45">
      <c r="A44"/>
      <c r="B44"/>
      <c r="C44"/>
      <c r="D44"/>
      <c r="E44"/>
      <c r="F44"/>
      <c r="G44"/>
      <c r="H44"/>
      <c r="I44"/>
    </row>
    <row r="45" spans="1:9" ht="14.25" x14ac:dyDescent="0.45">
      <c r="A45"/>
      <c r="B45"/>
      <c r="C45"/>
      <c r="D45"/>
      <c r="E45"/>
      <c r="F45"/>
      <c r="G45"/>
      <c r="H45"/>
      <c r="I45"/>
    </row>
    <row r="46" spans="1:9" ht="14.25" x14ac:dyDescent="0.45">
      <c r="A46"/>
      <c r="B46"/>
      <c r="C46"/>
      <c r="D46"/>
      <c r="E46"/>
      <c r="F46"/>
      <c r="G46"/>
      <c r="H46"/>
      <c r="I46"/>
    </row>
    <row r="47" spans="1:9" ht="14.25" x14ac:dyDescent="0.45">
      <c r="A47"/>
      <c r="B47"/>
      <c r="C47"/>
      <c r="D47"/>
      <c r="E47"/>
      <c r="F47"/>
      <c r="G47"/>
      <c r="H47"/>
      <c r="I47"/>
    </row>
    <row r="48" spans="1:9" ht="14.25" x14ac:dyDescent="0.45">
      <c r="A48"/>
      <c r="B48"/>
      <c r="C48"/>
      <c r="D48"/>
      <c r="E48"/>
      <c r="F48"/>
      <c r="G48"/>
      <c r="H48"/>
      <c r="I48"/>
    </row>
    <row r="49" spans="1:9" ht="14.25" x14ac:dyDescent="0.45">
      <c r="A49"/>
      <c r="B49"/>
      <c r="C49"/>
      <c r="D49"/>
      <c r="E49"/>
      <c r="F49"/>
      <c r="G49"/>
      <c r="H49"/>
      <c r="I49"/>
    </row>
    <row r="50" spans="1:9" ht="14.25" x14ac:dyDescent="0.45">
      <c r="A50"/>
      <c r="B50"/>
      <c r="C50"/>
      <c r="D50"/>
      <c r="E50"/>
      <c r="F50"/>
      <c r="G50"/>
      <c r="H50"/>
      <c r="I50"/>
    </row>
    <row r="51" spans="1:9" ht="14.25" x14ac:dyDescent="0.45">
      <c r="A51"/>
      <c r="B51"/>
      <c r="C51"/>
      <c r="D51"/>
      <c r="E51"/>
      <c r="F51"/>
      <c r="G51"/>
      <c r="H51"/>
      <c r="I51"/>
    </row>
    <row r="52" spans="1:9" ht="14.25" x14ac:dyDescent="0.45">
      <c r="A52"/>
      <c r="B52"/>
      <c r="C52"/>
      <c r="D52"/>
      <c r="E52"/>
      <c r="F52"/>
      <c r="G52"/>
      <c r="H52"/>
      <c r="I52"/>
    </row>
    <row r="53" spans="1:9" ht="14.25" x14ac:dyDescent="0.45">
      <c r="A53"/>
      <c r="B53"/>
      <c r="C53"/>
      <c r="D53"/>
      <c r="E53"/>
      <c r="F53"/>
      <c r="G53"/>
      <c r="H53"/>
      <c r="I53"/>
    </row>
    <row r="54" spans="1:9" ht="14.25" x14ac:dyDescent="0.45">
      <c r="A54"/>
      <c r="B54"/>
      <c r="C54"/>
      <c r="D54"/>
      <c r="E54"/>
      <c r="F54"/>
      <c r="G54"/>
      <c r="H54"/>
      <c r="I54"/>
    </row>
    <row r="55" spans="1:9" ht="14.25" x14ac:dyDescent="0.45">
      <c r="A55"/>
      <c r="B55"/>
      <c r="C55"/>
      <c r="D55"/>
      <c r="E55"/>
      <c r="F55"/>
      <c r="G55"/>
      <c r="H55"/>
      <c r="I55"/>
    </row>
    <row r="56" spans="1:9" ht="14.25" x14ac:dyDescent="0.45">
      <c r="A56"/>
      <c r="B56"/>
      <c r="C56"/>
      <c r="D56"/>
      <c r="E56"/>
      <c r="F56"/>
      <c r="G56"/>
      <c r="H56"/>
      <c r="I56"/>
    </row>
    <row r="57" spans="1:9" ht="14.25" x14ac:dyDescent="0.45">
      <c r="A57"/>
      <c r="B57"/>
      <c r="C57"/>
      <c r="D57"/>
      <c r="E57"/>
      <c r="F57"/>
      <c r="G57"/>
      <c r="H57"/>
      <c r="I57"/>
    </row>
    <row r="58" spans="1:9" ht="14.25" x14ac:dyDescent="0.45">
      <c r="A58"/>
      <c r="B58"/>
      <c r="C58"/>
      <c r="D58"/>
      <c r="E58"/>
      <c r="F58"/>
      <c r="G58"/>
      <c r="H58"/>
      <c r="I58"/>
    </row>
    <row r="59" spans="1:9" ht="14.25" x14ac:dyDescent="0.45">
      <c r="A59"/>
      <c r="B59"/>
      <c r="C59"/>
      <c r="D59"/>
      <c r="E59"/>
      <c r="F59"/>
      <c r="G59"/>
      <c r="H59"/>
      <c r="I59"/>
    </row>
    <row r="60" spans="1:9" ht="14.25" x14ac:dyDescent="0.45">
      <c r="A60"/>
      <c r="B60"/>
      <c r="C60"/>
      <c r="D60"/>
      <c r="E60"/>
      <c r="F60"/>
      <c r="G60"/>
      <c r="H60"/>
      <c r="I60"/>
    </row>
    <row r="61" spans="1:9" ht="14.25" x14ac:dyDescent="0.45">
      <c r="A61"/>
      <c r="B61"/>
      <c r="C61"/>
      <c r="D61"/>
      <c r="E61"/>
      <c r="F61"/>
      <c r="G61"/>
      <c r="H61"/>
      <c r="I61"/>
    </row>
    <row r="62" spans="1:9" ht="14.25" x14ac:dyDescent="0.45">
      <c r="A62"/>
      <c r="B62"/>
      <c r="C62"/>
      <c r="D62"/>
      <c r="E62"/>
      <c r="F62"/>
      <c r="G62"/>
      <c r="H62"/>
      <c r="I62"/>
    </row>
    <row r="63" spans="1:9" ht="14.25" x14ac:dyDescent="0.45">
      <c r="A63"/>
      <c r="B63"/>
      <c r="C63"/>
      <c r="D63"/>
      <c r="E63"/>
      <c r="F63"/>
      <c r="G63"/>
      <c r="H63"/>
      <c r="I63"/>
    </row>
    <row r="64" spans="1:9" ht="14.25" x14ac:dyDescent="0.45">
      <c r="A64"/>
      <c r="B64"/>
      <c r="C64"/>
      <c r="D64"/>
      <c r="E64"/>
      <c r="F64"/>
      <c r="G64"/>
      <c r="H64"/>
      <c r="I64"/>
    </row>
    <row r="65" spans="1:9" ht="14.25" x14ac:dyDescent="0.45">
      <c r="A65"/>
      <c r="B65"/>
      <c r="C65"/>
      <c r="D65"/>
      <c r="E65"/>
      <c r="F65"/>
      <c r="G65"/>
      <c r="H65"/>
      <c r="I65"/>
    </row>
    <row r="66" spans="1:9" ht="14.25" x14ac:dyDescent="0.45">
      <c r="A66"/>
      <c r="B66"/>
      <c r="C66"/>
      <c r="D66"/>
      <c r="E66"/>
      <c r="F66"/>
      <c r="G66"/>
      <c r="H66"/>
      <c r="I66"/>
    </row>
    <row r="67" spans="1:9" ht="14.25" x14ac:dyDescent="0.45">
      <c r="A67"/>
      <c r="B67"/>
      <c r="C67"/>
      <c r="D67"/>
      <c r="E67"/>
      <c r="F67"/>
      <c r="G67"/>
      <c r="H67"/>
      <c r="I67"/>
    </row>
    <row r="68" spans="1:9" ht="14.65" thickBot="1" x14ac:dyDescent="0.5">
      <c r="A68"/>
      <c r="B68"/>
      <c r="C68"/>
      <c r="D68"/>
      <c r="E68"/>
      <c r="F68"/>
      <c r="G68"/>
      <c r="H68"/>
      <c r="I68"/>
    </row>
    <row r="69" spans="1:9" ht="14.25" x14ac:dyDescent="0.45">
      <c r="A69"/>
      <c r="B69"/>
      <c r="C69"/>
      <c r="D69"/>
      <c r="E69"/>
      <c r="F69"/>
      <c r="G69"/>
      <c r="H69"/>
      <c r="I69"/>
    </row>
    <row r="70" spans="1:9" ht="14.25" x14ac:dyDescent="0.45">
      <c r="A70"/>
      <c r="B70"/>
      <c r="C70"/>
      <c r="D70"/>
      <c r="E70"/>
      <c r="F70"/>
      <c r="G70"/>
      <c r="H70"/>
      <c r="I70"/>
    </row>
    <row r="71" spans="1:9" ht="14.25" x14ac:dyDescent="0.45">
      <c r="A71"/>
      <c r="B71"/>
      <c r="C71"/>
      <c r="D71"/>
      <c r="E71"/>
      <c r="F71"/>
      <c r="G71"/>
      <c r="H71"/>
      <c r="I71"/>
    </row>
    <row r="72" spans="1:9" ht="14.25" x14ac:dyDescent="0.45">
      <c r="A72"/>
      <c r="B72"/>
      <c r="C72"/>
      <c r="D72"/>
      <c r="E72"/>
      <c r="F72"/>
      <c r="G72"/>
      <c r="H72"/>
      <c r="I72"/>
    </row>
    <row r="73" spans="1:9" ht="14.25" x14ac:dyDescent="0.45">
      <c r="A73"/>
      <c r="B73"/>
      <c r="C73"/>
      <c r="D73"/>
      <c r="E73"/>
      <c r="F73"/>
      <c r="G73"/>
      <c r="H73"/>
      <c r="I73"/>
    </row>
    <row r="74" spans="1:9" ht="14.25" x14ac:dyDescent="0.45">
      <c r="A74"/>
      <c r="B74"/>
      <c r="C74"/>
      <c r="D74"/>
      <c r="E74"/>
      <c r="F74"/>
      <c r="G74"/>
      <c r="H74"/>
      <c r="I74"/>
    </row>
    <row r="75" spans="1:9" ht="14.25" x14ac:dyDescent="0.45">
      <c r="A75"/>
      <c r="B75"/>
      <c r="C75"/>
      <c r="D75"/>
      <c r="E75"/>
      <c r="F75"/>
      <c r="G75"/>
      <c r="H75"/>
      <c r="I75"/>
    </row>
    <row r="76" spans="1:9" ht="14.25" x14ac:dyDescent="0.45">
      <c r="A76"/>
      <c r="B76"/>
      <c r="C76"/>
      <c r="D76"/>
      <c r="E76"/>
      <c r="F76"/>
      <c r="G76"/>
      <c r="H76"/>
      <c r="I76"/>
    </row>
    <row r="77" spans="1:9" ht="14.25" x14ac:dyDescent="0.45">
      <c r="A77"/>
      <c r="B77"/>
      <c r="C77"/>
      <c r="D77"/>
      <c r="E77"/>
      <c r="F77"/>
      <c r="G77"/>
      <c r="H77"/>
      <c r="I77"/>
    </row>
    <row r="78" spans="1:9" ht="14.25" x14ac:dyDescent="0.45">
      <c r="A78"/>
      <c r="B78"/>
      <c r="C78"/>
      <c r="D78"/>
      <c r="E78"/>
      <c r="F78"/>
      <c r="G78"/>
      <c r="H78"/>
      <c r="I78"/>
    </row>
    <row r="79" spans="1:9" ht="14.25" x14ac:dyDescent="0.45">
      <c r="A79"/>
      <c r="B79"/>
      <c r="C79"/>
      <c r="D79"/>
      <c r="E79"/>
      <c r="F79"/>
      <c r="G79"/>
      <c r="H79"/>
      <c r="I79"/>
    </row>
    <row r="80" spans="1:9" ht="14.25" x14ac:dyDescent="0.45">
      <c r="A80"/>
      <c r="B80"/>
      <c r="C80"/>
      <c r="D80"/>
      <c r="E80"/>
      <c r="F80"/>
      <c r="G80"/>
      <c r="H80"/>
      <c r="I80"/>
    </row>
    <row r="81" spans="1:9" ht="14.25" x14ac:dyDescent="0.45">
      <c r="A81"/>
      <c r="B81"/>
      <c r="C81"/>
      <c r="D81"/>
      <c r="E81"/>
      <c r="F81"/>
      <c r="G81"/>
      <c r="H81"/>
      <c r="I81"/>
    </row>
    <row r="82" spans="1:9" ht="14.25" x14ac:dyDescent="0.45">
      <c r="A82"/>
      <c r="B82"/>
      <c r="C82"/>
      <c r="D82"/>
      <c r="E82"/>
      <c r="F82"/>
      <c r="G82"/>
      <c r="H82"/>
      <c r="I82"/>
    </row>
    <row r="83" spans="1:9" ht="14.25" x14ac:dyDescent="0.45">
      <c r="A83"/>
      <c r="B83"/>
      <c r="C83"/>
      <c r="D83"/>
      <c r="E83"/>
      <c r="F83"/>
      <c r="G83"/>
      <c r="H83"/>
      <c r="I83"/>
    </row>
    <row r="84" spans="1:9" ht="14.25" x14ac:dyDescent="0.45">
      <c r="A84"/>
      <c r="B84"/>
      <c r="C84"/>
      <c r="D84"/>
      <c r="E84"/>
      <c r="F84"/>
      <c r="G84"/>
      <c r="H84"/>
      <c r="I84"/>
    </row>
    <row r="85" spans="1:9" ht="14.25" x14ac:dyDescent="0.45">
      <c r="A85"/>
      <c r="B85"/>
      <c r="C85"/>
      <c r="D85"/>
      <c r="E85"/>
      <c r="F85"/>
      <c r="G85"/>
      <c r="H85"/>
      <c r="I85"/>
    </row>
    <row r="86" spans="1:9" ht="14.25" x14ac:dyDescent="0.45">
      <c r="A86"/>
      <c r="B86"/>
      <c r="C86"/>
      <c r="D86"/>
      <c r="E86"/>
      <c r="F86"/>
      <c r="G86"/>
      <c r="H86"/>
      <c r="I86"/>
    </row>
    <row r="87" spans="1:9" ht="14.25" x14ac:dyDescent="0.45">
      <c r="A87"/>
      <c r="B87"/>
      <c r="C87"/>
      <c r="D87"/>
      <c r="E87"/>
      <c r="F87"/>
      <c r="G87"/>
      <c r="H87"/>
      <c r="I87"/>
    </row>
    <row r="88" spans="1:9" ht="14.25" x14ac:dyDescent="0.45">
      <c r="A88"/>
      <c r="B88"/>
      <c r="C88"/>
      <c r="D88"/>
      <c r="E88"/>
      <c r="F88"/>
      <c r="G88"/>
      <c r="H88"/>
      <c r="I88"/>
    </row>
    <row r="89" spans="1:9" ht="14.25" x14ac:dyDescent="0.45">
      <c r="A89"/>
      <c r="B89"/>
      <c r="C89"/>
      <c r="D89"/>
      <c r="E89"/>
      <c r="F89"/>
      <c r="G89"/>
      <c r="H89"/>
      <c r="I89"/>
    </row>
    <row r="90" spans="1:9" ht="14.25" x14ac:dyDescent="0.45">
      <c r="A90"/>
      <c r="B90"/>
      <c r="C90"/>
      <c r="D90"/>
      <c r="E90"/>
      <c r="F90"/>
      <c r="G90"/>
      <c r="H90"/>
      <c r="I90"/>
    </row>
    <row r="91" spans="1:9" ht="14.25" x14ac:dyDescent="0.45">
      <c r="A91"/>
      <c r="B91"/>
      <c r="C91"/>
      <c r="D91"/>
      <c r="E91"/>
      <c r="F91"/>
      <c r="G91"/>
      <c r="H91"/>
      <c r="I91"/>
    </row>
    <row r="92" spans="1:9" ht="14.25" x14ac:dyDescent="0.45">
      <c r="A92"/>
      <c r="B92"/>
      <c r="C92"/>
      <c r="D92"/>
      <c r="E92"/>
      <c r="F92"/>
      <c r="G92"/>
      <c r="H92"/>
      <c r="I92"/>
    </row>
    <row r="93" spans="1:9" ht="14.25" x14ac:dyDescent="0.45">
      <c r="A93"/>
      <c r="B93"/>
      <c r="C93"/>
      <c r="D93"/>
      <c r="E93"/>
      <c r="F93"/>
      <c r="G93"/>
      <c r="H93"/>
      <c r="I93"/>
    </row>
    <row r="94" spans="1:9" ht="14.25" x14ac:dyDescent="0.45">
      <c r="A94"/>
      <c r="B94"/>
      <c r="C94"/>
      <c r="D94"/>
      <c r="E94"/>
      <c r="F94"/>
      <c r="G94"/>
      <c r="H94"/>
      <c r="I94"/>
    </row>
    <row r="95" spans="1:9" ht="14.25" x14ac:dyDescent="0.45">
      <c r="A95"/>
      <c r="B95"/>
      <c r="C95"/>
      <c r="D95"/>
      <c r="E95"/>
      <c r="F95"/>
      <c r="G95"/>
      <c r="H95"/>
      <c r="I95"/>
    </row>
    <row r="96" spans="1:9" ht="14.25" x14ac:dyDescent="0.45">
      <c r="A96"/>
      <c r="B96"/>
      <c r="C96"/>
      <c r="D96"/>
      <c r="E96"/>
      <c r="F96"/>
      <c r="G96"/>
      <c r="H96"/>
      <c r="I96"/>
    </row>
    <row r="97" spans="1:9" ht="14.25" x14ac:dyDescent="0.45">
      <c r="A97"/>
      <c r="B97"/>
      <c r="C97"/>
      <c r="D97"/>
      <c r="E97"/>
      <c r="F97"/>
      <c r="G97"/>
      <c r="H97"/>
      <c r="I97"/>
    </row>
    <row r="98" spans="1:9" ht="14.25" x14ac:dyDescent="0.45">
      <c r="A98"/>
      <c r="B98"/>
      <c r="C98"/>
      <c r="D98"/>
      <c r="E98"/>
      <c r="F98"/>
      <c r="G98"/>
      <c r="H98"/>
      <c r="I98"/>
    </row>
    <row r="99" spans="1:9" ht="14.25" x14ac:dyDescent="0.45">
      <c r="A99"/>
      <c r="B99"/>
      <c r="C99"/>
      <c r="D99"/>
      <c r="E99"/>
      <c r="F99"/>
      <c r="G99"/>
      <c r="H99"/>
      <c r="I99"/>
    </row>
    <row r="100" spans="1:9" ht="14.25" x14ac:dyDescent="0.45">
      <c r="A100"/>
      <c r="B100"/>
      <c r="C100"/>
      <c r="D100"/>
      <c r="E100"/>
      <c r="F100"/>
      <c r="G100"/>
      <c r="H100"/>
      <c r="I100"/>
    </row>
    <row r="101" spans="1:9" ht="14.25" x14ac:dyDescent="0.45">
      <c r="A101"/>
      <c r="B101"/>
      <c r="C101"/>
      <c r="D101"/>
      <c r="E101"/>
      <c r="F101"/>
      <c r="G101"/>
      <c r="H101"/>
      <c r="I101"/>
    </row>
    <row r="102" spans="1:9" ht="14.25" x14ac:dyDescent="0.45">
      <c r="A102"/>
      <c r="B102"/>
      <c r="C102"/>
      <c r="D102"/>
      <c r="E102"/>
      <c r="F102"/>
      <c r="G102"/>
      <c r="H102"/>
      <c r="I102"/>
    </row>
    <row r="103" spans="1:9" ht="14.25" x14ac:dyDescent="0.45">
      <c r="A103"/>
      <c r="B103"/>
      <c r="C103"/>
      <c r="D103"/>
      <c r="E103"/>
      <c r="F103"/>
      <c r="G103"/>
      <c r="H103"/>
      <c r="I103"/>
    </row>
    <row r="104" spans="1:9" ht="14.25" x14ac:dyDescent="0.45">
      <c r="A104"/>
      <c r="B104"/>
      <c r="C104"/>
      <c r="D104"/>
      <c r="E104"/>
      <c r="F104"/>
      <c r="G104"/>
      <c r="H104"/>
      <c r="I104"/>
    </row>
    <row r="105" spans="1:9" ht="14.25" x14ac:dyDescent="0.45">
      <c r="A105"/>
      <c r="B105"/>
      <c r="C105"/>
      <c r="D105"/>
      <c r="E105"/>
      <c r="F105"/>
      <c r="G105"/>
      <c r="H105"/>
      <c r="I105"/>
    </row>
    <row r="106" spans="1:9" ht="14.25" x14ac:dyDescent="0.45">
      <c r="A106"/>
      <c r="B106"/>
      <c r="C106"/>
      <c r="D106"/>
      <c r="E106"/>
      <c r="F106"/>
      <c r="G106"/>
      <c r="H106"/>
      <c r="I106"/>
    </row>
    <row r="107" spans="1:9" ht="14.25" x14ac:dyDescent="0.45">
      <c r="A107"/>
      <c r="B107"/>
      <c r="C107"/>
      <c r="D107"/>
      <c r="E107"/>
      <c r="F107"/>
      <c r="G107"/>
      <c r="H107"/>
      <c r="I107"/>
    </row>
    <row r="108" spans="1:9" ht="14.25" x14ac:dyDescent="0.45">
      <c r="A108"/>
      <c r="B108"/>
      <c r="C108"/>
      <c r="D108"/>
      <c r="E108"/>
      <c r="F108"/>
      <c r="G108"/>
      <c r="H108"/>
      <c r="I108"/>
    </row>
    <row r="109" spans="1:9" ht="14.25" x14ac:dyDescent="0.45">
      <c r="A109"/>
      <c r="B109"/>
      <c r="C109"/>
      <c r="D109"/>
      <c r="E109"/>
      <c r="F109"/>
      <c r="G109"/>
      <c r="H109"/>
      <c r="I109"/>
    </row>
    <row r="110" spans="1:9" ht="14.25" x14ac:dyDescent="0.45">
      <c r="A110"/>
      <c r="B110"/>
      <c r="C110"/>
      <c r="D110"/>
      <c r="E110"/>
      <c r="F110"/>
      <c r="G110"/>
      <c r="H110"/>
      <c r="I110"/>
    </row>
    <row r="111" spans="1:9" ht="14.65" thickBot="1" x14ac:dyDescent="0.5">
      <c r="A111"/>
      <c r="B111"/>
      <c r="C111"/>
      <c r="D111"/>
      <c r="E111"/>
      <c r="F111"/>
      <c r="G111"/>
      <c r="H111"/>
      <c r="I111"/>
    </row>
  </sheetData>
  <mergeCells count="2">
    <mergeCell ref="C4:H4"/>
    <mergeCell ref="A4:B4"/>
  </mergeCells>
  <pageMargins left="0.7" right="0.7" top="0.75" bottom="0.75" header="0.3" footer="0.3"/>
  <pageSetup orientation="portrait" horizontalDpi="1200" verticalDpi="1200" r:id="rId2"/>
  <headerFooter>
    <oddFooter>&amp;L&amp;1#&amp;"Calibri"&amp;10&amp;K000000Internal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6B8F9-713F-4C4A-BBAE-219F1A4C690D}">
  <sheetPr codeName="Sheet5"/>
  <dimension ref="A1:N36"/>
  <sheetViews>
    <sheetView workbookViewId="0">
      <selection activeCell="F23" sqref="F23"/>
    </sheetView>
  </sheetViews>
  <sheetFormatPr defaultColWidth="9.1328125" defaultRowHeight="15" x14ac:dyDescent="0.55000000000000004"/>
  <cols>
    <col min="1" max="1" width="3.1328125" style="15" customWidth="1"/>
    <col min="2" max="2" width="15.1328125" style="15" bestFit="1" customWidth="1"/>
    <col min="3" max="3" width="4.265625" style="15" customWidth="1"/>
    <col min="4" max="4" width="29.73046875" style="15" bestFit="1" customWidth="1"/>
    <col min="5" max="5" width="6.59765625" style="15" customWidth="1"/>
    <col min="6" max="6" width="45.73046875" style="15" customWidth="1"/>
    <col min="7" max="7" width="9.3984375" style="15" customWidth="1"/>
    <col min="8" max="8" width="31" style="15" bestFit="1" customWidth="1"/>
    <col min="9" max="9" width="4.265625" style="15" customWidth="1"/>
    <col min="10" max="10" width="19.1328125" style="15" bestFit="1" customWidth="1"/>
    <col min="11" max="11" width="22.86328125" style="15" bestFit="1" customWidth="1"/>
    <col min="12" max="12" width="7.265625" style="15" customWidth="1"/>
    <col min="13" max="13" width="38.59765625" style="15" bestFit="1" customWidth="1"/>
    <col min="14" max="14" width="44.1328125" style="15" bestFit="1" customWidth="1"/>
    <col min="15" max="16384" width="9.1328125" style="15"/>
  </cols>
  <sheetData>
    <row r="1" spans="1:14" ht="25.9" x14ac:dyDescent="0.9">
      <c r="A1" s="17" t="s">
        <v>377</v>
      </c>
    </row>
    <row r="3" spans="1:14" x14ac:dyDescent="0.55000000000000004">
      <c r="A3" s="16" t="s">
        <v>378</v>
      </c>
      <c r="B3" s="16" t="s">
        <v>379</v>
      </c>
      <c r="C3" s="16" t="s">
        <v>380</v>
      </c>
      <c r="D3" s="16" t="s">
        <v>381</v>
      </c>
      <c r="E3" s="16" t="s">
        <v>382</v>
      </c>
      <c r="F3" s="16" t="s">
        <v>383</v>
      </c>
      <c r="G3" s="16" t="s">
        <v>370</v>
      </c>
      <c r="H3" s="16" t="s">
        <v>384</v>
      </c>
      <c r="I3" s="16" t="s">
        <v>385</v>
      </c>
      <c r="J3" s="16" t="s">
        <v>386</v>
      </c>
      <c r="K3" s="16" t="s">
        <v>387</v>
      </c>
      <c r="L3" s="16" t="s">
        <v>388</v>
      </c>
      <c r="M3" s="16" t="s">
        <v>389</v>
      </c>
      <c r="N3" s="16" t="s">
        <v>369</v>
      </c>
    </row>
    <row r="4" spans="1:14" s="26" customFormat="1" ht="11.25" x14ac:dyDescent="0.4">
      <c r="A4" s="26" t="s">
        <v>390</v>
      </c>
      <c r="B4" s="26" t="s">
        <v>391</v>
      </c>
      <c r="C4" s="26" t="s">
        <v>392</v>
      </c>
      <c r="D4" s="26" t="s">
        <v>393</v>
      </c>
      <c r="E4" s="26" t="s">
        <v>394</v>
      </c>
      <c r="F4" s="26" t="s">
        <v>395</v>
      </c>
      <c r="G4" s="27" t="s">
        <v>23</v>
      </c>
      <c r="H4" s="27" t="s">
        <v>25</v>
      </c>
      <c r="I4" s="28" t="s">
        <v>396</v>
      </c>
      <c r="J4" s="28" t="s">
        <v>152</v>
      </c>
      <c r="K4" s="28" t="s">
        <v>397</v>
      </c>
      <c r="L4" s="28" t="s">
        <v>26</v>
      </c>
      <c r="M4" s="28" t="s">
        <v>27</v>
      </c>
      <c r="N4" s="28" t="s">
        <v>373</v>
      </c>
    </row>
    <row r="5" spans="1:14" s="26" customFormat="1" ht="11.25" x14ac:dyDescent="0.4">
      <c r="A5" s="26" t="s">
        <v>390</v>
      </c>
      <c r="B5" s="26" t="s">
        <v>391</v>
      </c>
      <c r="C5" s="26" t="s">
        <v>392</v>
      </c>
      <c r="D5" s="26" t="s">
        <v>393</v>
      </c>
      <c r="E5" s="26" t="s">
        <v>394</v>
      </c>
      <c r="F5" s="26" t="s">
        <v>395</v>
      </c>
      <c r="G5" s="27" t="s">
        <v>28</v>
      </c>
      <c r="H5" s="27" t="s">
        <v>30</v>
      </c>
      <c r="I5" s="28" t="s">
        <v>396</v>
      </c>
      <c r="J5" s="28" t="s">
        <v>152</v>
      </c>
      <c r="K5" s="28" t="s">
        <v>397</v>
      </c>
      <c r="L5" s="28" t="s">
        <v>31</v>
      </c>
      <c r="M5" s="28" t="s">
        <v>32</v>
      </c>
      <c r="N5" s="28" t="s">
        <v>398</v>
      </c>
    </row>
    <row r="6" spans="1:14" s="26" customFormat="1" ht="11.25" x14ac:dyDescent="0.4">
      <c r="A6" s="26" t="s">
        <v>390</v>
      </c>
      <c r="B6" s="26" t="s">
        <v>391</v>
      </c>
      <c r="C6" s="26" t="s">
        <v>392</v>
      </c>
      <c r="D6" s="26" t="s">
        <v>393</v>
      </c>
      <c r="E6" s="26" t="s">
        <v>394</v>
      </c>
      <c r="F6" s="26" t="s">
        <v>395</v>
      </c>
      <c r="G6" s="27" t="s">
        <v>33</v>
      </c>
      <c r="H6" s="27" t="s">
        <v>160</v>
      </c>
      <c r="I6" s="28" t="s">
        <v>396</v>
      </c>
      <c r="J6" s="28" t="s">
        <v>152</v>
      </c>
      <c r="K6" s="28" t="s">
        <v>397</v>
      </c>
      <c r="L6" s="28" t="s">
        <v>37</v>
      </c>
      <c r="M6" s="28" t="s">
        <v>38</v>
      </c>
      <c r="N6" s="28" t="s">
        <v>399</v>
      </c>
    </row>
    <row r="7" spans="1:14" s="26" customFormat="1" ht="11.25" x14ac:dyDescent="0.4">
      <c r="A7" s="26" t="s">
        <v>390</v>
      </c>
      <c r="B7" s="26" t="s">
        <v>391</v>
      </c>
      <c r="C7" s="26" t="s">
        <v>400</v>
      </c>
      <c r="D7" s="26" t="s">
        <v>401</v>
      </c>
      <c r="E7" s="26" t="s">
        <v>402</v>
      </c>
      <c r="F7" s="26" t="s">
        <v>403</v>
      </c>
      <c r="G7" s="29" t="s">
        <v>39</v>
      </c>
      <c r="H7" s="29" t="s">
        <v>41</v>
      </c>
      <c r="I7" s="28" t="s">
        <v>396</v>
      </c>
      <c r="J7" s="28" t="s">
        <v>152</v>
      </c>
      <c r="K7" s="28" t="s">
        <v>397</v>
      </c>
      <c r="L7" s="28" t="s">
        <v>48</v>
      </c>
      <c r="M7" s="28" t="s">
        <v>49</v>
      </c>
      <c r="N7" s="28" t="s">
        <v>404</v>
      </c>
    </row>
    <row r="8" spans="1:14" s="26" customFormat="1" ht="11.25" x14ac:dyDescent="0.4">
      <c r="A8" s="26" t="s">
        <v>390</v>
      </c>
      <c r="B8" s="26" t="s">
        <v>391</v>
      </c>
      <c r="C8" s="26" t="s">
        <v>400</v>
      </c>
      <c r="D8" s="26" t="s">
        <v>401</v>
      </c>
      <c r="E8" s="26" t="s">
        <v>405</v>
      </c>
      <c r="F8" s="26" t="s">
        <v>44</v>
      </c>
      <c r="G8" s="29" t="s">
        <v>42</v>
      </c>
      <c r="H8" s="29" t="s">
        <v>44</v>
      </c>
      <c r="I8" s="28" t="s">
        <v>396</v>
      </c>
      <c r="J8" s="28" t="s">
        <v>152</v>
      </c>
      <c r="K8" s="28" t="s">
        <v>397</v>
      </c>
      <c r="L8" s="28" t="s">
        <v>48</v>
      </c>
      <c r="M8" s="28" t="s">
        <v>49</v>
      </c>
      <c r="N8" s="28" t="s">
        <v>404</v>
      </c>
    </row>
    <row r="9" spans="1:14" s="26" customFormat="1" ht="11.25" x14ac:dyDescent="0.4">
      <c r="A9" s="26" t="s">
        <v>390</v>
      </c>
      <c r="B9" s="26" t="s">
        <v>391</v>
      </c>
      <c r="C9" s="26" t="s">
        <v>400</v>
      </c>
      <c r="D9" s="26" t="s">
        <v>401</v>
      </c>
      <c r="E9" s="26" t="s">
        <v>406</v>
      </c>
      <c r="F9" s="26" t="s">
        <v>47</v>
      </c>
      <c r="G9" s="29" t="s">
        <v>45</v>
      </c>
      <c r="H9" s="29" t="s">
        <v>47</v>
      </c>
      <c r="I9" s="28" t="s">
        <v>396</v>
      </c>
      <c r="J9" s="28" t="s">
        <v>152</v>
      </c>
      <c r="K9" s="28" t="s">
        <v>397</v>
      </c>
      <c r="L9" s="28" t="s">
        <v>48</v>
      </c>
      <c r="M9" s="28" t="s">
        <v>49</v>
      </c>
      <c r="N9" s="28" t="s">
        <v>404</v>
      </c>
    </row>
    <row r="10" spans="1:14" s="26" customFormat="1" ht="11.25" x14ac:dyDescent="0.4">
      <c r="A10" s="26" t="s">
        <v>390</v>
      </c>
      <c r="B10" s="26" t="s">
        <v>391</v>
      </c>
      <c r="C10" s="26" t="s">
        <v>400</v>
      </c>
      <c r="D10" s="26" t="s">
        <v>401</v>
      </c>
      <c r="E10" s="26" t="s">
        <v>407</v>
      </c>
      <c r="F10" s="26" t="s">
        <v>408</v>
      </c>
      <c r="G10" s="29" t="s">
        <v>50</v>
      </c>
      <c r="H10" s="29" t="s">
        <v>52</v>
      </c>
      <c r="I10" s="28" t="s">
        <v>396</v>
      </c>
      <c r="J10" s="28" t="s">
        <v>152</v>
      </c>
      <c r="K10" s="28" t="s">
        <v>397</v>
      </c>
      <c r="L10" s="28" t="s">
        <v>56</v>
      </c>
      <c r="M10" s="28" t="s">
        <v>57</v>
      </c>
      <c r="N10" s="28" t="s">
        <v>409</v>
      </c>
    </row>
    <row r="11" spans="1:14" s="26" customFormat="1" ht="11.25" x14ac:dyDescent="0.4">
      <c r="A11" s="26" t="s">
        <v>390</v>
      </c>
      <c r="B11" s="26" t="s">
        <v>391</v>
      </c>
      <c r="C11" s="26" t="s">
        <v>400</v>
      </c>
      <c r="D11" s="26" t="s">
        <v>401</v>
      </c>
      <c r="E11" s="26" t="s">
        <v>410</v>
      </c>
      <c r="F11" s="26" t="s">
        <v>411</v>
      </c>
      <c r="G11" s="29" t="s">
        <v>53</v>
      </c>
      <c r="H11" s="29" t="s">
        <v>55</v>
      </c>
      <c r="I11" s="28" t="s">
        <v>396</v>
      </c>
      <c r="J11" s="28" t="s">
        <v>152</v>
      </c>
      <c r="K11" s="28" t="s">
        <v>397</v>
      </c>
      <c r="L11" s="28" t="s">
        <v>56</v>
      </c>
      <c r="M11" s="28" t="s">
        <v>57</v>
      </c>
      <c r="N11" s="28" t="s">
        <v>409</v>
      </c>
    </row>
    <row r="12" spans="1:14" s="26" customFormat="1" ht="11.25" x14ac:dyDescent="0.4">
      <c r="A12" s="26" t="s">
        <v>390</v>
      </c>
      <c r="B12" s="26" t="s">
        <v>391</v>
      </c>
      <c r="C12" s="26" t="s">
        <v>412</v>
      </c>
      <c r="D12" s="26" t="s">
        <v>413</v>
      </c>
      <c r="E12" s="26" t="s">
        <v>414</v>
      </c>
      <c r="F12" s="26" t="s">
        <v>60</v>
      </c>
      <c r="G12" s="29" t="s">
        <v>58</v>
      </c>
      <c r="H12" s="29" t="s">
        <v>60</v>
      </c>
      <c r="I12" s="28" t="s">
        <v>396</v>
      </c>
      <c r="J12" s="28" t="s">
        <v>152</v>
      </c>
      <c r="K12" s="28" t="s">
        <v>397</v>
      </c>
      <c r="L12" s="28" t="s">
        <v>67</v>
      </c>
      <c r="M12" s="28" t="s">
        <v>68</v>
      </c>
      <c r="N12" s="28" t="s">
        <v>415</v>
      </c>
    </row>
    <row r="13" spans="1:14" s="26" customFormat="1" ht="11.25" x14ac:dyDescent="0.4">
      <c r="A13" s="26" t="s">
        <v>390</v>
      </c>
      <c r="B13" s="26" t="s">
        <v>391</v>
      </c>
      <c r="C13" s="26" t="s">
        <v>412</v>
      </c>
      <c r="D13" s="26" t="s">
        <v>413</v>
      </c>
      <c r="E13" s="26" t="s">
        <v>416</v>
      </c>
      <c r="F13" s="26" t="s">
        <v>417</v>
      </c>
      <c r="G13" s="29" t="s">
        <v>61</v>
      </c>
      <c r="H13" s="29" t="s">
        <v>63</v>
      </c>
      <c r="I13" s="28" t="s">
        <v>396</v>
      </c>
      <c r="J13" s="28" t="s">
        <v>152</v>
      </c>
      <c r="K13" s="28" t="s">
        <v>397</v>
      </c>
      <c r="L13" s="28" t="s">
        <v>67</v>
      </c>
      <c r="M13" s="28" t="s">
        <v>68</v>
      </c>
      <c r="N13" s="28" t="s">
        <v>415</v>
      </c>
    </row>
    <row r="14" spans="1:14" s="26" customFormat="1" ht="11.25" x14ac:dyDescent="0.4">
      <c r="A14" s="26" t="s">
        <v>390</v>
      </c>
      <c r="B14" s="26" t="s">
        <v>391</v>
      </c>
      <c r="C14" s="26" t="s">
        <v>412</v>
      </c>
      <c r="D14" s="26" t="s">
        <v>413</v>
      </c>
      <c r="E14" s="26" t="s">
        <v>418</v>
      </c>
      <c r="F14" s="26" t="s">
        <v>419</v>
      </c>
      <c r="G14" s="29" t="s">
        <v>64</v>
      </c>
      <c r="H14" s="29" t="s">
        <v>66</v>
      </c>
      <c r="I14" s="28" t="s">
        <v>396</v>
      </c>
      <c r="J14" s="28" t="s">
        <v>152</v>
      </c>
      <c r="K14" s="28" t="s">
        <v>397</v>
      </c>
      <c r="L14" s="28" t="s">
        <v>67</v>
      </c>
      <c r="M14" s="28" t="s">
        <v>68</v>
      </c>
      <c r="N14" s="28" t="s">
        <v>415</v>
      </c>
    </row>
    <row r="15" spans="1:14" s="26" customFormat="1" ht="11.25" x14ac:dyDescent="0.4">
      <c r="A15" s="26" t="s">
        <v>390</v>
      </c>
      <c r="B15" s="26" t="s">
        <v>391</v>
      </c>
      <c r="C15" s="26" t="s">
        <v>412</v>
      </c>
      <c r="D15" s="26" t="s">
        <v>413</v>
      </c>
      <c r="E15" s="26" t="s">
        <v>420</v>
      </c>
      <c r="F15" s="26" t="s">
        <v>71</v>
      </c>
      <c r="G15" s="29" t="s">
        <v>69</v>
      </c>
      <c r="H15" s="29" t="s">
        <v>71</v>
      </c>
      <c r="I15" s="28" t="s">
        <v>396</v>
      </c>
      <c r="J15" s="28" t="s">
        <v>152</v>
      </c>
      <c r="K15" s="28" t="s">
        <v>397</v>
      </c>
      <c r="L15" s="28" t="s">
        <v>72</v>
      </c>
      <c r="M15" s="28" t="s">
        <v>73</v>
      </c>
      <c r="N15" s="28" t="s">
        <v>421</v>
      </c>
    </row>
    <row r="16" spans="1:14" s="26" customFormat="1" ht="11.25" x14ac:dyDescent="0.4">
      <c r="A16" s="26" t="s">
        <v>390</v>
      </c>
      <c r="B16" s="26" t="s">
        <v>391</v>
      </c>
      <c r="C16" s="26" t="s">
        <v>422</v>
      </c>
      <c r="D16" s="26" t="s">
        <v>423</v>
      </c>
      <c r="E16" s="26" t="s">
        <v>424</v>
      </c>
      <c r="F16" s="26" t="s">
        <v>76</v>
      </c>
      <c r="G16" s="29" t="s">
        <v>74</v>
      </c>
      <c r="H16" s="29" t="s">
        <v>76</v>
      </c>
      <c r="I16" s="28" t="s">
        <v>396</v>
      </c>
      <c r="J16" s="28" t="s">
        <v>152</v>
      </c>
      <c r="K16" s="28" t="s">
        <v>397</v>
      </c>
      <c r="L16" s="28" t="s">
        <v>80</v>
      </c>
      <c r="M16" s="28" t="s">
        <v>81</v>
      </c>
      <c r="N16" s="28" t="s">
        <v>425</v>
      </c>
    </row>
    <row r="17" spans="1:14" s="26" customFormat="1" ht="11.25" x14ac:dyDescent="0.4">
      <c r="A17" s="26" t="s">
        <v>390</v>
      </c>
      <c r="B17" s="26" t="s">
        <v>391</v>
      </c>
      <c r="C17" s="26" t="s">
        <v>422</v>
      </c>
      <c r="D17" s="26" t="s">
        <v>423</v>
      </c>
      <c r="E17" s="26" t="s">
        <v>426</v>
      </c>
      <c r="F17" s="26" t="s">
        <v>427</v>
      </c>
      <c r="G17" s="29" t="s">
        <v>77</v>
      </c>
      <c r="H17" s="29" t="s">
        <v>79</v>
      </c>
      <c r="I17" s="28" t="s">
        <v>396</v>
      </c>
      <c r="J17" s="28" t="s">
        <v>152</v>
      </c>
      <c r="K17" s="28" t="s">
        <v>397</v>
      </c>
      <c r="L17" s="28" t="s">
        <v>80</v>
      </c>
      <c r="M17" s="28" t="s">
        <v>81</v>
      </c>
      <c r="N17" s="28" t="s">
        <v>425</v>
      </c>
    </row>
    <row r="18" spans="1:14" s="26" customFormat="1" ht="11.25" x14ac:dyDescent="0.4">
      <c r="A18" s="26" t="s">
        <v>390</v>
      </c>
      <c r="B18" s="26" t="s">
        <v>391</v>
      </c>
      <c r="C18" s="26" t="s">
        <v>428</v>
      </c>
      <c r="D18" s="26" t="s">
        <v>429</v>
      </c>
      <c r="E18" s="26" t="s">
        <v>430</v>
      </c>
      <c r="F18" s="26" t="s">
        <v>84</v>
      </c>
      <c r="G18" s="29" t="s">
        <v>82</v>
      </c>
      <c r="H18" s="29" t="s">
        <v>84</v>
      </c>
      <c r="I18" s="28" t="s">
        <v>396</v>
      </c>
      <c r="J18" s="28" t="s">
        <v>152</v>
      </c>
      <c r="K18" s="28" t="s">
        <v>397</v>
      </c>
      <c r="L18" s="28" t="s">
        <v>97</v>
      </c>
      <c r="M18" s="28" t="s">
        <v>98</v>
      </c>
      <c r="N18" s="28" t="s">
        <v>431</v>
      </c>
    </row>
    <row r="19" spans="1:14" s="26" customFormat="1" ht="11.25" x14ac:dyDescent="0.4">
      <c r="A19" s="26" t="s">
        <v>390</v>
      </c>
      <c r="B19" s="26" t="s">
        <v>391</v>
      </c>
      <c r="C19" s="26" t="s">
        <v>392</v>
      </c>
      <c r="D19" s="26" t="s">
        <v>393</v>
      </c>
      <c r="E19" s="26" t="s">
        <v>432</v>
      </c>
      <c r="F19" s="26" t="s">
        <v>433</v>
      </c>
      <c r="G19" s="29" t="s">
        <v>85</v>
      </c>
      <c r="H19" s="29" t="s">
        <v>87</v>
      </c>
      <c r="I19" s="28" t="s">
        <v>396</v>
      </c>
      <c r="J19" s="28" t="s">
        <v>152</v>
      </c>
      <c r="K19" s="28" t="s">
        <v>397</v>
      </c>
      <c r="L19" s="28" t="s">
        <v>97</v>
      </c>
      <c r="M19" s="28" t="s">
        <v>98</v>
      </c>
      <c r="N19" s="28" t="s">
        <v>431</v>
      </c>
    </row>
    <row r="20" spans="1:14" s="26" customFormat="1" ht="11.25" x14ac:dyDescent="0.4">
      <c r="A20" s="26" t="s">
        <v>390</v>
      </c>
      <c r="B20" s="26" t="s">
        <v>391</v>
      </c>
      <c r="C20" s="26" t="s">
        <v>392</v>
      </c>
      <c r="D20" s="26" t="s">
        <v>393</v>
      </c>
      <c r="E20" s="26" t="s">
        <v>394</v>
      </c>
      <c r="F20" s="26" t="s">
        <v>395</v>
      </c>
      <c r="G20" s="54" t="s">
        <v>88</v>
      </c>
      <c r="H20" s="54" t="s">
        <v>90</v>
      </c>
      <c r="I20" s="53" t="s">
        <v>396</v>
      </c>
      <c r="J20" s="53" t="s">
        <v>152</v>
      </c>
      <c r="K20" s="53" t="s">
        <v>397</v>
      </c>
      <c r="L20" s="53" t="s">
        <v>97</v>
      </c>
      <c r="M20" s="53" t="s">
        <v>98</v>
      </c>
      <c r="N20" s="53" t="s">
        <v>431</v>
      </c>
    </row>
    <row r="21" spans="1:14" s="26" customFormat="1" ht="11.25" x14ac:dyDescent="0.4">
      <c r="A21" s="26" t="s">
        <v>345</v>
      </c>
      <c r="B21" s="26" t="s">
        <v>434</v>
      </c>
      <c r="C21" s="26" t="s">
        <v>435</v>
      </c>
      <c r="D21" s="26" t="s">
        <v>436</v>
      </c>
      <c r="E21" s="26" t="s">
        <v>437</v>
      </c>
      <c r="F21" s="26" t="s">
        <v>438</v>
      </c>
      <c r="G21" s="29" t="s">
        <v>99</v>
      </c>
      <c r="H21" s="29" t="s">
        <v>101</v>
      </c>
      <c r="I21" s="28" t="s">
        <v>396</v>
      </c>
      <c r="J21" s="28" t="s">
        <v>152</v>
      </c>
      <c r="K21" s="28" t="s">
        <v>397</v>
      </c>
      <c r="L21" s="28" t="s">
        <v>102</v>
      </c>
      <c r="M21" s="28" t="s">
        <v>103</v>
      </c>
      <c r="N21" s="28" t="s">
        <v>439</v>
      </c>
    </row>
    <row r="22" spans="1:14" s="26" customFormat="1" ht="11.25" x14ac:dyDescent="0.4">
      <c r="A22" s="26" t="s">
        <v>390</v>
      </c>
      <c r="B22" s="26" t="s">
        <v>391</v>
      </c>
      <c r="C22" s="26" t="s">
        <v>428</v>
      </c>
      <c r="D22" s="26" t="s">
        <v>429</v>
      </c>
      <c r="E22" s="26" t="s">
        <v>440</v>
      </c>
      <c r="F22" s="26" t="s">
        <v>441</v>
      </c>
      <c r="G22" s="29" t="s">
        <v>104</v>
      </c>
      <c r="H22" s="29" t="s">
        <v>106</v>
      </c>
      <c r="I22" s="28" t="s">
        <v>396</v>
      </c>
      <c r="J22" s="28" t="s">
        <v>152</v>
      </c>
      <c r="K22" s="28" t="s">
        <v>397</v>
      </c>
      <c r="L22" s="28" t="s">
        <v>107</v>
      </c>
      <c r="M22" s="28" t="s">
        <v>108</v>
      </c>
      <c r="N22" s="28" t="s">
        <v>442</v>
      </c>
    </row>
    <row r="23" spans="1:14" s="26" customFormat="1" ht="11.25" x14ac:dyDescent="0.4">
      <c r="A23" s="26" t="s">
        <v>345</v>
      </c>
      <c r="B23" s="26" t="s">
        <v>434</v>
      </c>
      <c r="C23" s="26" t="s">
        <v>443</v>
      </c>
      <c r="D23" s="26" t="s">
        <v>444</v>
      </c>
      <c r="E23" s="26" t="s">
        <v>445</v>
      </c>
      <c r="F23" s="26" t="s">
        <v>120</v>
      </c>
      <c r="G23" s="53" t="s">
        <v>118</v>
      </c>
      <c r="H23" s="53" t="s">
        <v>120</v>
      </c>
      <c r="I23" s="53" t="s">
        <v>446</v>
      </c>
      <c r="J23" s="53" t="s">
        <v>153</v>
      </c>
      <c r="K23" s="53" t="s">
        <v>447</v>
      </c>
      <c r="L23" s="53" t="s">
        <v>130</v>
      </c>
      <c r="M23" s="53" t="s">
        <v>131</v>
      </c>
      <c r="N23" s="53" t="s">
        <v>448</v>
      </c>
    </row>
    <row r="24" spans="1:14" s="26" customFormat="1" ht="11.25" x14ac:dyDescent="0.4">
      <c r="A24" s="26" t="s">
        <v>390</v>
      </c>
      <c r="B24" s="26" t="s">
        <v>391</v>
      </c>
      <c r="C24" s="26" t="s">
        <v>392</v>
      </c>
      <c r="D24" s="26" t="s">
        <v>393</v>
      </c>
      <c r="E24" s="26" t="s">
        <v>394</v>
      </c>
      <c r="F24" s="26" t="s">
        <v>395</v>
      </c>
      <c r="G24" s="27" t="s">
        <v>109</v>
      </c>
      <c r="H24" s="27" t="s">
        <v>111</v>
      </c>
      <c r="I24" s="28" t="s">
        <v>446</v>
      </c>
      <c r="J24" s="28" t="s">
        <v>153</v>
      </c>
      <c r="K24" s="28" t="s">
        <v>447</v>
      </c>
      <c r="L24" s="28" t="s">
        <v>130</v>
      </c>
      <c r="M24" s="28" t="s">
        <v>131</v>
      </c>
      <c r="N24" s="28" t="s">
        <v>448</v>
      </c>
    </row>
    <row r="25" spans="1:14" s="26" customFormat="1" ht="11.25" x14ac:dyDescent="0.4">
      <c r="A25" s="26" t="s">
        <v>390</v>
      </c>
      <c r="B25" s="26" t="s">
        <v>391</v>
      </c>
      <c r="C25" s="26" t="s">
        <v>392</v>
      </c>
      <c r="D25" s="26" t="s">
        <v>393</v>
      </c>
      <c r="E25" s="26" t="s">
        <v>449</v>
      </c>
      <c r="F25" s="26" t="s">
        <v>96</v>
      </c>
      <c r="G25" s="29" t="s">
        <v>94</v>
      </c>
      <c r="H25" s="29" t="s">
        <v>96</v>
      </c>
      <c r="I25" s="28" t="s">
        <v>446</v>
      </c>
      <c r="J25" s="28" t="s">
        <v>153</v>
      </c>
      <c r="K25" s="28" t="s">
        <v>447</v>
      </c>
      <c r="L25" s="28" t="s">
        <v>130</v>
      </c>
      <c r="M25" s="28" t="s">
        <v>131</v>
      </c>
      <c r="N25" s="28" t="s">
        <v>448</v>
      </c>
    </row>
    <row r="26" spans="1:14" s="26" customFormat="1" ht="11.25" x14ac:dyDescent="0.4">
      <c r="A26" s="26" t="s">
        <v>345</v>
      </c>
      <c r="B26" s="26" t="s">
        <v>434</v>
      </c>
      <c r="C26" s="26" t="s">
        <v>443</v>
      </c>
      <c r="D26" s="26" t="s">
        <v>444</v>
      </c>
      <c r="E26" s="26" t="s">
        <v>450</v>
      </c>
      <c r="F26" s="26" t="s">
        <v>451</v>
      </c>
      <c r="G26" s="29" t="s">
        <v>112</v>
      </c>
      <c r="H26" s="29" t="s">
        <v>114</v>
      </c>
      <c r="I26" s="28" t="s">
        <v>446</v>
      </c>
      <c r="J26" s="28" t="s">
        <v>153</v>
      </c>
      <c r="K26" s="28" t="s">
        <v>447</v>
      </c>
      <c r="L26" s="28" t="s">
        <v>130</v>
      </c>
      <c r="M26" s="28" t="s">
        <v>131</v>
      </c>
      <c r="N26" s="28" t="s">
        <v>448</v>
      </c>
    </row>
    <row r="27" spans="1:14" s="26" customFormat="1" ht="11.25" x14ac:dyDescent="0.4">
      <c r="A27" s="26" t="s">
        <v>345</v>
      </c>
      <c r="B27" s="26" t="s">
        <v>434</v>
      </c>
      <c r="C27" s="26" t="s">
        <v>443</v>
      </c>
      <c r="D27" s="26" t="s">
        <v>444</v>
      </c>
      <c r="E27" s="26" t="s">
        <v>452</v>
      </c>
      <c r="F27" s="26" t="s">
        <v>453</v>
      </c>
      <c r="G27" s="29" t="s">
        <v>115</v>
      </c>
      <c r="H27" s="29" t="s">
        <v>117</v>
      </c>
      <c r="I27" s="28" t="s">
        <v>446</v>
      </c>
      <c r="J27" s="28" t="s">
        <v>153</v>
      </c>
      <c r="K27" s="28" t="s">
        <v>447</v>
      </c>
      <c r="L27" s="28" t="s">
        <v>130</v>
      </c>
      <c r="M27" s="28" t="s">
        <v>131</v>
      </c>
      <c r="N27" s="28" t="s">
        <v>448</v>
      </c>
    </row>
    <row r="28" spans="1:14" s="26" customFormat="1" ht="11.25" x14ac:dyDescent="0.4">
      <c r="A28" s="26" t="s">
        <v>345</v>
      </c>
      <c r="B28" s="26" t="s">
        <v>434</v>
      </c>
      <c r="C28" s="26" t="s">
        <v>443</v>
      </c>
      <c r="D28" s="26" t="s">
        <v>444</v>
      </c>
      <c r="E28" s="26" t="s">
        <v>454</v>
      </c>
      <c r="F28" s="26" t="s">
        <v>455</v>
      </c>
      <c r="G28" s="53" t="s">
        <v>121</v>
      </c>
      <c r="H28" s="53" t="s">
        <v>455</v>
      </c>
      <c r="I28" s="53" t="s">
        <v>446</v>
      </c>
      <c r="J28" s="53" t="s">
        <v>153</v>
      </c>
      <c r="K28" s="53" t="s">
        <v>447</v>
      </c>
      <c r="L28" s="53" t="s">
        <v>130</v>
      </c>
      <c r="M28" s="53" t="s">
        <v>131</v>
      </c>
      <c r="N28" s="53" t="s">
        <v>448</v>
      </c>
    </row>
    <row r="29" spans="1:14" s="26" customFormat="1" ht="11.25" x14ac:dyDescent="0.4">
      <c r="A29" s="26" t="s">
        <v>345</v>
      </c>
      <c r="B29" s="26" t="s">
        <v>434</v>
      </c>
      <c r="C29" s="26" t="s">
        <v>435</v>
      </c>
      <c r="D29" s="26" t="s">
        <v>436</v>
      </c>
      <c r="E29" s="26" t="s">
        <v>456</v>
      </c>
      <c r="F29" s="26" t="s">
        <v>126</v>
      </c>
      <c r="G29" s="29" t="s">
        <v>124</v>
      </c>
      <c r="H29" s="29" t="s">
        <v>126</v>
      </c>
      <c r="I29" s="28" t="s">
        <v>446</v>
      </c>
      <c r="J29" s="28" t="s">
        <v>153</v>
      </c>
      <c r="K29" s="28" t="s">
        <v>447</v>
      </c>
      <c r="L29" s="28" t="s">
        <v>130</v>
      </c>
      <c r="M29" s="28" t="s">
        <v>131</v>
      </c>
      <c r="N29" s="28" t="s">
        <v>448</v>
      </c>
    </row>
    <row r="30" spans="1:14" s="26" customFormat="1" ht="11.25" x14ac:dyDescent="0.4">
      <c r="A30" s="26" t="s">
        <v>345</v>
      </c>
      <c r="B30" s="26" t="s">
        <v>434</v>
      </c>
      <c r="C30" s="26" t="s">
        <v>435</v>
      </c>
      <c r="D30" s="26" t="s">
        <v>436</v>
      </c>
      <c r="E30" s="26" t="s">
        <v>457</v>
      </c>
      <c r="F30" s="26" t="s">
        <v>129</v>
      </c>
      <c r="G30" s="29" t="s">
        <v>127</v>
      </c>
      <c r="H30" s="29" t="s">
        <v>129</v>
      </c>
      <c r="I30" s="28" t="s">
        <v>446</v>
      </c>
      <c r="J30" s="28" t="s">
        <v>153</v>
      </c>
      <c r="K30" s="28" t="s">
        <v>447</v>
      </c>
      <c r="L30" s="28" t="s">
        <v>130</v>
      </c>
      <c r="M30" s="28" t="s">
        <v>131</v>
      </c>
      <c r="N30" s="28" t="s">
        <v>448</v>
      </c>
    </row>
    <row r="31" spans="1:14" s="26" customFormat="1" ht="11.25" x14ac:dyDescent="0.4">
      <c r="A31" s="26" t="s">
        <v>345</v>
      </c>
      <c r="B31" s="26" t="s">
        <v>434</v>
      </c>
      <c r="C31" s="26" t="s">
        <v>458</v>
      </c>
      <c r="D31" s="26" t="s">
        <v>459</v>
      </c>
      <c r="E31" s="26" t="s">
        <v>460</v>
      </c>
      <c r="F31" s="26" t="s">
        <v>134</v>
      </c>
      <c r="G31" s="29" t="s">
        <v>132</v>
      </c>
      <c r="H31" s="29" t="s">
        <v>134</v>
      </c>
      <c r="I31" s="28" t="s">
        <v>446</v>
      </c>
      <c r="J31" s="28" t="s">
        <v>153</v>
      </c>
      <c r="K31" s="28" t="s">
        <v>447</v>
      </c>
      <c r="L31" s="28" t="s">
        <v>135</v>
      </c>
      <c r="M31" s="28" t="s">
        <v>136</v>
      </c>
      <c r="N31" s="28" t="s">
        <v>461</v>
      </c>
    </row>
    <row r="32" spans="1:14" s="26" customFormat="1" ht="11.25" x14ac:dyDescent="0.4">
      <c r="A32" s="26" t="s">
        <v>345</v>
      </c>
      <c r="B32" s="26" t="s">
        <v>434</v>
      </c>
      <c r="C32" s="26" t="s">
        <v>458</v>
      </c>
      <c r="D32" s="26" t="s">
        <v>459</v>
      </c>
      <c r="E32" s="26" t="s">
        <v>462</v>
      </c>
      <c r="F32" s="26" t="s">
        <v>463</v>
      </c>
      <c r="G32" s="53" t="s">
        <v>464</v>
      </c>
      <c r="H32" s="53" t="s">
        <v>463</v>
      </c>
      <c r="I32" s="53" t="s">
        <v>446</v>
      </c>
      <c r="J32" s="53" t="s">
        <v>153</v>
      </c>
      <c r="K32" s="53" t="s">
        <v>447</v>
      </c>
      <c r="L32" s="53" t="s">
        <v>135</v>
      </c>
      <c r="M32" s="53" t="s">
        <v>136</v>
      </c>
      <c r="N32" s="53" t="s">
        <v>461</v>
      </c>
    </row>
    <row r="33" spans="1:14" s="26" customFormat="1" ht="11.25" x14ac:dyDescent="0.4">
      <c r="A33" s="26" t="s">
        <v>390</v>
      </c>
      <c r="B33" s="26" t="s">
        <v>391</v>
      </c>
      <c r="C33" s="26" t="s">
        <v>392</v>
      </c>
      <c r="D33" s="26" t="s">
        <v>393</v>
      </c>
      <c r="E33" s="26" t="s">
        <v>465</v>
      </c>
      <c r="F33" s="26" t="s">
        <v>466</v>
      </c>
      <c r="G33" s="28" t="s">
        <v>91</v>
      </c>
      <c r="H33" s="28" t="s">
        <v>467</v>
      </c>
      <c r="I33" s="28" t="s">
        <v>446</v>
      </c>
      <c r="J33" s="28" t="s">
        <v>153</v>
      </c>
      <c r="K33" s="28" t="s">
        <v>447</v>
      </c>
      <c r="L33" s="28" t="s">
        <v>146</v>
      </c>
      <c r="M33" s="28" t="s">
        <v>154</v>
      </c>
      <c r="N33" s="28" t="s">
        <v>468</v>
      </c>
    </row>
    <row r="34" spans="1:14" s="26" customFormat="1" ht="11.25" x14ac:dyDescent="0.4">
      <c r="A34" s="26" t="s">
        <v>345</v>
      </c>
      <c r="B34" s="26" t="s">
        <v>434</v>
      </c>
      <c r="C34" s="26" t="s">
        <v>435</v>
      </c>
      <c r="D34" s="26" t="s">
        <v>436</v>
      </c>
      <c r="E34" s="26" t="s">
        <v>469</v>
      </c>
      <c r="F34" s="26" t="s">
        <v>470</v>
      </c>
      <c r="G34" s="29" t="s">
        <v>137</v>
      </c>
      <c r="H34" s="29" t="s">
        <v>139</v>
      </c>
      <c r="I34" s="28" t="s">
        <v>446</v>
      </c>
      <c r="J34" s="28" t="s">
        <v>153</v>
      </c>
      <c r="K34" s="28" t="s">
        <v>447</v>
      </c>
      <c r="L34" s="28" t="s">
        <v>146</v>
      </c>
      <c r="M34" s="28" t="s">
        <v>154</v>
      </c>
      <c r="N34" s="28" t="s">
        <v>471</v>
      </c>
    </row>
    <row r="35" spans="1:14" s="26" customFormat="1" ht="11.25" x14ac:dyDescent="0.4">
      <c r="A35" s="26" t="s">
        <v>345</v>
      </c>
      <c r="B35" s="26" t="s">
        <v>434</v>
      </c>
      <c r="C35" s="26" t="s">
        <v>435</v>
      </c>
      <c r="D35" s="26" t="s">
        <v>436</v>
      </c>
      <c r="E35" s="26" t="s">
        <v>472</v>
      </c>
      <c r="F35" s="26" t="s">
        <v>142</v>
      </c>
      <c r="G35" s="29" t="s">
        <v>140</v>
      </c>
      <c r="H35" s="29" t="s">
        <v>142</v>
      </c>
      <c r="I35" s="28" t="s">
        <v>446</v>
      </c>
      <c r="J35" s="28" t="s">
        <v>153</v>
      </c>
      <c r="K35" s="28" t="s">
        <v>447</v>
      </c>
      <c r="L35" s="28" t="s">
        <v>146</v>
      </c>
      <c r="M35" s="28" t="s">
        <v>154</v>
      </c>
      <c r="N35" s="28" t="s">
        <v>471</v>
      </c>
    </row>
    <row r="36" spans="1:14" s="26" customFormat="1" ht="11.25" x14ac:dyDescent="0.4">
      <c r="A36" s="26" t="s">
        <v>345</v>
      </c>
      <c r="B36" s="26" t="s">
        <v>434</v>
      </c>
      <c r="C36" s="26" t="s">
        <v>435</v>
      </c>
      <c r="D36" s="26" t="s">
        <v>436</v>
      </c>
      <c r="E36" s="26" t="s">
        <v>473</v>
      </c>
      <c r="F36" s="26" t="s">
        <v>145</v>
      </c>
      <c r="G36" s="29" t="s">
        <v>143</v>
      </c>
      <c r="H36" s="29" t="s">
        <v>145</v>
      </c>
      <c r="I36" s="28" t="s">
        <v>446</v>
      </c>
      <c r="J36" s="28" t="s">
        <v>153</v>
      </c>
      <c r="K36" s="28" t="s">
        <v>447</v>
      </c>
      <c r="L36" s="28" t="s">
        <v>146</v>
      </c>
      <c r="M36" s="28" t="s">
        <v>154</v>
      </c>
      <c r="N36" s="28" t="s">
        <v>471</v>
      </c>
    </row>
  </sheetData>
  <sheetProtection algorithmName="SHA-512" hashValue="K62I7tzVd5XoURNxM1KEsCnVZpDTn1dR0VuvwE00ABELXZ5QCW6HsXLQM3fyk3xjr+ISPaNyvSv3cqLk51wWHw==" saltValue="eZAtdBHWLZeVtxg8VkP7xQ==" spinCount="100000" sheet="1" objects="1" scenarios="1" autoFilter="0"/>
  <sortState xmlns:xlrd2="http://schemas.microsoft.com/office/spreadsheetml/2017/richdata2" ref="A4:N36">
    <sortCondition ref="G20:G36"/>
  </sortState>
  <pageMargins left="0.7" right="0.7" top="0.75" bottom="0.75" header="0.3" footer="0.3"/>
  <pageSetup orientation="portrait" horizontalDpi="1200" verticalDpi="1200" r:id="rId1"/>
  <headerFooter>
    <oddFooter>&amp;L&amp;1#&amp;"Calibri"&amp;10&amp;K000000Internal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8EE9237482712449971AC4496F4F58A" ma:contentTypeVersion="22" ma:contentTypeDescription="Create a new document." ma:contentTypeScope="" ma:versionID="8d29dc5fa25fc1fcef507a9ef40e34d6">
  <xsd:schema xmlns:xsd="http://www.w3.org/2001/XMLSchema" xmlns:xs="http://www.w3.org/2001/XMLSchema" xmlns:p="http://schemas.microsoft.com/office/2006/metadata/properties" xmlns:ns1="http://schemas.microsoft.com/sharepoint/v3" xmlns:ns2="133e5729-7bb1-4685-bd1f-c5e580a2ee33" xmlns:ns3="cf328f71-004c-4ec5-8aac-4c1fe87c002c" targetNamespace="http://schemas.microsoft.com/office/2006/metadata/properties" ma:root="true" ma:fieldsID="b03b04bbf8a8573d9e89e83f27820dd2" ns1:_="" ns2:_="" ns3:_="">
    <xsd:import namespace="http://schemas.microsoft.com/sharepoint/v3"/>
    <xsd:import namespace="133e5729-7bb1-4685-bd1f-c5e580a2ee33"/>
    <xsd:import namespace="cf328f71-004c-4ec5-8aac-4c1fe87c002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ServiceLocation" minOccurs="0"/>
                <xsd:element ref="ns3:MediaLengthInSeconds" minOccurs="0"/>
                <xsd:element ref="ns3:SharingLink" minOccurs="0"/>
                <xsd:element ref="ns3:lcf76f155ced4ddcb4097134ff3c332f" minOccurs="0"/>
                <xsd:element ref="ns2:TaxCatchAll" minOccurs="0"/>
                <xsd:element ref="ns1:_ip_UnifiedCompliancePolicyProperties" minOccurs="0"/>
                <xsd:element ref="ns1:_ip_UnifiedCompliancePolicyUIAction" minOccurs="0"/>
                <xsd:element ref="ns3:MediaServiceObjectDetectorVersions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3e5729-7bb1-4685-bd1f-c5e580a2ee3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5cc3d5bd-c7ff-448c-a8db-21860a682db1}" ma:internalName="TaxCatchAll" ma:showField="CatchAllData" ma:web="133e5729-7bb1-4685-bd1f-c5e580a2ee3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328f71-004c-4ec5-8aac-4c1fe87c002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SharingLink" ma:index="21" nillable="true" ma:displayName="Sharing Link" ma:format="Dropdown" ma:internalName="SharingLink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214f832c-f6f1-485d-8901-6765a4832c5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9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33e5729-7bb1-4685-bd1f-c5e580a2ee33" xsi:nil="true"/>
    <lcf76f155ced4ddcb4097134ff3c332f xmlns="cf328f71-004c-4ec5-8aac-4c1fe87c002c">
      <Terms xmlns="http://schemas.microsoft.com/office/infopath/2007/PartnerControls"/>
    </lcf76f155ced4ddcb4097134ff3c332f>
    <SharingLink xmlns="cf328f71-004c-4ec5-8aac-4c1fe87c002c" xsi:nil="true"/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B02300D4-AA6D-4046-A4A3-3129E99E11E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133e5729-7bb1-4685-bd1f-c5e580a2ee33"/>
    <ds:schemaRef ds:uri="cf328f71-004c-4ec5-8aac-4c1fe87c002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F330779-45E9-4805-956A-C61607D404CC}">
  <ds:schemaRefs>
    <ds:schemaRef ds:uri="http://purl.org/dc/elements/1.1/"/>
    <ds:schemaRef ds:uri="http://schemas.openxmlformats.org/package/2006/metadata/core-properties"/>
    <ds:schemaRef ds:uri="http://schemas.microsoft.com/sharepoint/v3"/>
    <ds:schemaRef ds:uri="http://schemas.microsoft.com/office/2006/documentManagement/types"/>
    <ds:schemaRef ds:uri="http://schemas.microsoft.com/office/infopath/2007/PartnerControls"/>
    <ds:schemaRef ds:uri="cf328f71-004c-4ec5-8aac-4c1fe87c002c"/>
    <ds:schemaRef ds:uri="133e5729-7bb1-4685-bd1f-c5e580a2ee33"/>
    <ds:schemaRef ds:uri="http://purl.org/dc/terms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A958B2B-0279-40F6-977C-BB3FAC77950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513FD5A-972A-45B9-B262-6F62466834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budget_tool</vt:lpstr>
      <vt:lpstr>DREF for publication</vt:lpstr>
      <vt:lpstr>Summary by APCode</vt:lpstr>
      <vt:lpstr>Resource Budget summary</vt:lpstr>
      <vt:lpstr>budget_groups</vt:lpstr>
      <vt:lpstr>Guidelines</vt:lpstr>
      <vt:lpstr>FedBudget data</vt:lpstr>
      <vt:lpstr>output codes</vt:lpstr>
      <vt:lpstr>APP_CODE</vt:lpstr>
      <vt:lpstr>CHF_EA01</vt:lpstr>
      <vt:lpstr>CHF_EA02</vt:lpstr>
      <vt:lpstr>CHF_EA03</vt:lpstr>
      <vt:lpstr>CHF_PO01</vt:lpstr>
      <vt:lpstr>CHF_PO02</vt:lpstr>
      <vt:lpstr>CHF_PO03</vt:lpstr>
      <vt:lpstr>CHF_PO04</vt:lpstr>
      <vt:lpstr>CHF_PO05</vt:lpstr>
      <vt:lpstr>CHF_PO06</vt:lpstr>
      <vt:lpstr>CHF_PO07</vt:lpstr>
      <vt:lpstr>CHF_PO08</vt:lpstr>
      <vt:lpstr>CHF_PO09</vt:lpstr>
      <vt:lpstr>CHF_PO10</vt:lpstr>
      <vt:lpstr>CHF_PO11</vt:lpstr>
      <vt:lpstr>NS_NAME</vt:lpstr>
      <vt:lpstr>OPERATION</vt:lpstr>
      <vt:lpstr>budget_groups!Print_Area</vt:lpstr>
      <vt:lpstr>budget_tool!Print_Area</vt:lpstr>
      <vt:lpstr>'DREF for publication'!Print_Area</vt:lpstr>
      <vt:lpstr>Guidelines!Print_Area</vt:lpstr>
      <vt:lpstr>'Resource Budget summary'!Print_Area</vt:lpstr>
      <vt:lpstr>'Summary by APCode'!Print_Area</vt:lpstr>
      <vt:lpstr>budget_tool!Print_Titles</vt:lpstr>
      <vt:lpstr>Guidelines!Print_Titles</vt:lpstr>
      <vt:lpstr>'Resource Budget summary'!Print_Titles</vt:lpstr>
      <vt:lpstr>'Summary by APCode'!Print_Titles</vt:lpstr>
      <vt:lpstr>RATE</vt:lpstr>
      <vt:lpstr>TOT_BUDGET</vt:lpstr>
      <vt:lpstr>TOT_DIRECT</vt:lpstr>
      <vt:lpstr>TOT_INDIRECT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Angela Eaton</dc:creator>
  <cp:keywords/>
  <dc:description/>
  <cp:lastModifiedBy>Ana Maria ESCOBAR</cp:lastModifiedBy>
  <cp:revision/>
  <dcterms:created xsi:type="dcterms:W3CDTF">2021-05-20T13:37:49Z</dcterms:created>
  <dcterms:modified xsi:type="dcterms:W3CDTF">2025-04-09T08:58:25Z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627b15a-80ec-4ef7-8353-f32e3c89bf3e_Enabled">
    <vt:lpwstr>true</vt:lpwstr>
  </property>
  <property fmtid="{D5CDD505-2E9C-101B-9397-08002B2CF9AE}" pid="3" name="MSIP_Label_6627b15a-80ec-4ef7-8353-f32e3c89bf3e_SetDate">
    <vt:lpwstr>2022-08-23T06:39:29Z</vt:lpwstr>
  </property>
  <property fmtid="{D5CDD505-2E9C-101B-9397-08002B2CF9AE}" pid="4" name="MSIP_Label_6627b15a-80ec-4ef7-8353-f32e3c89bf3e_Method">
    <vt:lpwstr>Privileged</vt:lpwstr>
  </property>
  <property fmtid="{D5CDD505-2E9C-101B-9397-08002B2CF9AE}" pid="5" name="MSIP_Label_6627b15a-80ec-4ef7-8353-f32e3c89bf3e_Name">
    <vt:lpwstr>IFRC Internal</vt:lpwstr>
  </property>
  <property fmtid="{D5CDD505-2E9C-101B-9397-08002B2CF9AE}" pid="6" name="MSIP_Label_6627b15a-80ec-4ef7-8353-f32e3c89bf3e_SiteId">
    <vt:lpwstr>a2b53be5-734e-4e6c-ab0d-d184f60fd917</vt:lpwstr>
  </property>
  <property fmtid="{D5CDD505-2E9C-101B-9397-08002B2CF9AE}" pid="7" name="MSIP_Label_6627b15a-80ec-4ef7-8353-f32e3c89bf3e_ActionId">
    <vt:lpwstr>a7c022e8-845b-4924-935a-8d9515522da3</vt:lpwstr>
  </property>
  <property fmtid="{D5CDD505-2E9C-101B-9397-08002B2CF9AE}" pid="8" name="MSIP_Label_6627b15a-80ec-4ef7-8353-f32e3c89bf3e_ContentBits">
    <vt:lpwstr>2</vt:lpwstr>
  </property>
  <property fmtid="{D5CDD505-2E9C-101B-9397-08002B2CF9AE}" pid="9" name="ContentTypeId">
    <vt:lpwstr>0x01010088EE9237482712449971AC4496F4F58A</vt:lpwstr>
  </property>
  <property fmtid="{D5CDD505-2E9C-101B-9397-08002B2CF9AE}" pid="10" name="MediaServiceImageTags">
    <vt:lpwstr/>
  </property>
</Properties>
</file>