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frcorg.sharepoint.com/sites/GOIVfordeveloperteam/Shared Documents/DREF application tool/DREF Budget Template/"/>
    </mc:Choice>
  </mc:AlternateContent>
  <xr:revisionPtr revIDLastSave="25" documentId="8_{B57470D9-7335-42C5-87B9-45DA42B6120C}" xr6:coauthVersionLast="47" xr6:coauthVersionMax="47" xr10:uidLastSave="{705023A5-1CE6-43FB-8113-2399AAC6EA57}"/>
  <bookViews>
    <workbookView minimized="1" xWindow="2730" yWindow="2730" windowWidth="21600" windowHeight="11295" tabRatio="912" activeTab="1" xr2:uid="{E63C7410-8C4A-47C1-AD00-5D0CE6BF9130}"/>
  </bookViews>
  <sheets>
    <sheet name="budget_tool" sheetId="3" r:id="rId1"/>
    <sheet name="DREF for publication" sheetId="5" r:id="rId2"/>
    <sheet name="Summary by APCode" sheetId="12" r:id="rId3"/>
    <sheet name="Resource Budget summary" sheetId="6" r:id="rId4"/>
    <sheet name="budget_groups" sheetId="4" r:id="rId5"/>
    <sheet name="WBS" sheetId="13" r:id="rId6"/>
    <sheet name="Guidelines" sheetId="7" r:id="rId7"/>
  </sheets>
  <definedNames>
    <definedName name="_xlnm._FilterDatabase" localSheetId="3" hidden="1">'Resource Budget summary'!$E$7:$E$62</definedName>
    <definedName name="_xlnm._FilterDatabase" localSheetId="2" hidden="1">'Summary by APCode'!$B$8:$E$57</definedName>
    <definedName name="_xlnm._FilterDatabase" localSheetId="5" hidden="1">WBS!$A$6:$F$165</definedName>
    <definedName name="_xlcn.WorksheetConnection_DREFbudgettemplate2025SAMPLEPSSRINCL.xlsmBUDGET1" hidden="1">BUDGET[]</definedName>
    <definedName name="_xleta.CODE" hidden="1" xlm="1">#NAME?</definedName>
    <definedName name="_xleta.COLUMN" hidden="1" xlm="1">#NAME?</definedName>
    <definedName name="_xleta.ROUND" hidden="1" xlm="1">#NAME?</definedName>
    <definedName name="APP_CODE">budget_tool!$G$5</definedName>
    <definedName name="CHF_EA01">'Summary by APCode'!$E$43</definedName>
    <definedName name="CHF_EA02">'Summary by APCode'!$E$51</definedName>
    <definedName name="CHF_EA03">'Summary by APCode'!$E$53</definedName>
    <definedName name="CHF_PO01">'Summary by APCode'!$E$10</definedName>
    <definedName name="CHF_PO02">'Summary by APCode'!$E$12</definedName>
    <definedName name="CHF_PO03">'Summary by APCode'!$E$14</definedName>
    <definedName name="CHF_PO04">'Summary by APCode'!$E$16</definedName>
    <definedName name="CHF_PO05">'Summary by APCode'!$E$20</definedName>
    <definedName name="CHF_PO06">'Summary by APCode'!$E$23</definedName>
    <definedName name="CHF_PO07">'Summary by APCode'!$E$27</definedName>
    <definedName name="CHF_PO08">'Summary by APCode'!$E$29</definedName>
    <definedName name="CHF_PO09">'Summary by APCode'!$E$32</definedName>
    <definedName name="CHF_PO10">'Summary by APCode'!$E$38</definedName>
    <definedName name="CHF_PO11">'Summary by APCode'!$E$40</definedName>
    <definedName name="NS_NAME">budget_tool!$A$5</definedName>
    <definedName name="OPERATION">budget_tool!$C$5</definedName>
    <definedName name="_xlnm.Print_Area" localSheetId="4">budget_groups!$A$1:$C$55</definedName>
    <definedName name="_xlnm.Print_Area" localSheetId="0">budget_tool!$A$1:$L$219</definedName>
    <definedName name="_xlnm.Print_Area" localSheetId="1">'DREF for publication'!$A$1:$E$30</definedName>
    <definedName name="_xlnm.Print_Area" localSheetId="6">Guidelines!$A$1:$I$109</definedName>
    <definedName name="_xlnm.Print_Area" localSheetId="3">'Resource Budget summary'!$A$1:$E$62</definedName>
    <definedName name="_xlnm.Print_Area" localSheetId="2">'Summary by APCode'!$A$1:$E$58</definedName>
    <definedName name="_xlnm.Print_Area" localSheetId="5">WBS!$A$1:$F$130</definedName>
    <definedName name="_xlnm.Print_Titles" localSheetId="0">budget_tool!$1:$8</definedName>
    <definedName name="_xlnm.Print_Titles" localSheetId="6">Guidelines!$1:$4</definedName>
    <definedName name="_xlnm.Print_Titles" localSheetId="3">'Resource Budget summary'!$1:$7</definedName>
    <definedName name="_xlnm.Print_Titles" localSheetId="2">'Summary by APCode'!$1:$8</definedName>
    <definedName name="_xlnm.Print_Titles" localSheetId="5">WBS!$1:$5</definedName>
    <definedName name="RATE">budget_tool!$J$5</definedName>
    <definedName name="TOT_BUDGET">budget_tool!$K$218</definedName>
    <definedName name="TOT_DIRECT" localSheetId="5">BUDGET[[#Totals],[Total Cost CHF]]</definedName>
    <definedName name="TOT_DIRECT">BUDGET[[#Totals],[Total Cost CHF]]</definedName>
    <definedName name="TOT_INDIRECT">budget_tool!$K$217</definedName>
    <definedName name="TOTAL_01">#REF!</definedName>
    <definedName name="VERSION">Guidelines!$H$1</definedName>
  </definedNames>
  <calcPr calcId="191028" iterateDelta="252"/>
  <pivotCaches>
    <pivotCache cacheId="3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UDGET" name="BUDGET" connection="WorksheetConnection_DREF budget template 2025 SAMPLE, PSSR INCL.xlsm!BUDGE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3" l="1"/>
  <c r="G59" i="6"/>
  <c r="D58" i="6"/>
  <c r="D57" i="6"/>
  <c r="D55" i="6"/>
  <c r="D54" i="6" s="1"/>
  <c r="C55" i="6"/>
  <c r="C54" i="6" s="1"/>
  <c r="D53" i="6"/>
  <c r="C53" i="6"/>
  <c r="D52" i="6"/>
  <c r="C52" i="6"/>
  <c r="C51" i="6"/>
  <c r="D50" i="6"/>
  <c r="D49" i="6"/>
  <c r="D48" i="6"/>
  <c r="D45" i="6"/>
  <c r="D44" i="6" s="1"/>
  <c r="D43" i="6"/>
  <c r="C43" i="6"/>
  <c r="D42" i="6"/>
  <c r="C42" i="6"/>
  <c r="D40" i="6"/>
  <c r="D39" i="6"/>
  <c r="C39" i="6"/>
  <c r="D37" i="6"/>
  <c r="C37" i="6"/>
  <c r="D35" i="6"/>
  <c r="C35" i="6"/>
  <c r="D33" i="6"/>
  <c r="C33" i="6"/>
  <c r="D32" i="6"/>
  <c r="D30" i="6"/>
  <c r="C30" i="6"/>
  <c r="D29" i="6"/>
  <c r="C29" i="6"/>
  <c r="D28" i="6"/>
  <c r="C28" i="6"/>
  <c r="D27" i="6"/>
  <c r="C27" i="6"/>
  <c r="D26" i="6"/>
  <c r="C26" i="6"/>
  <c r="D25" i="6"/>
  <c r="C25" i="6"/>
  <c r="D23" i="6"/>
  <c r="C23" i="6"/>
  <c r="D22" i="6"/>
  <c r="C22" i="6"/>
  <c r="D21" i="6"/>
  <c r="C21" i="6"/>
  <c r="C20" i="6"/>
  <c r="D19" i="6"/>
  <c r="C19" i="6"/>
  <c r="D18" i="6"/>
  <c r="C18" i="6"/>
  <c r="D16" i="6"/>
  <c r="C16" i="6"/>
  <c r="D15" i="6"/>
  <c r="C15" i="6"/>
  <c r="D14" i="6"/>
  <c r="D13" i="6"/>
  <c r="C13" i="6"/>
  <c r="D12" i="6"/>
  <c r="C11" i="6"/>
  <c r="J198" i="3"/>
  <c r="K198" i="3" s="1"/>
  <c r="I198" i="3" s="1"/>
  <c r="J199" i="3"/>
  <c r="K199" i="3" s="1"/>
  <c r="I199" i="3" s="1"/>
  <c r="J200" i="3"/>
  <c r="K200" i="3" s="1"/>
  <c r="C57" i="6" s="1"/>
  <c r="J97" i="3"/>
  <c r="K97" i="3" s="1"/>
  <c r="I97" i="3" s="1"/>
  <c r="H5" i="12" l="1"/>
  <c r="I5" i="12" s="1"/>
  <c r="I200" i="3"/>
  <c r="C40" i="6"/>
  <c r="C34" i="6"/>
  <c r="C50" i="6"/>
  <c r="D41" i="6"/>
  <c r="C24" i="6"/>
  <c r="D56" i="6"/>
  <c r="D24" i="6"/>
  <c r="C41" i="6"/>
  <c r="K1" i="3"/>
  <c r="E5" i="12" l="1"/>
  <c r="E4" i="12"/>
  <c r="E5" i="6" l="1"/>
  <c r="E4" i="6"/>
  <c r="E5" i="5"/>
  <c r="E4" i="5"/>
  <c r="J175" i="3"/>
  <c r="K175" i="3" s="1"/>
  <c r="I175" i="3" s="1"/>
  <c r="J174" i="3"/>
  <c r="K174" i="3" s="1"/>
  <c r="I174" i="3" s="1"/>
  <c r="J173" i="3"/>
  <c r="K173" i="3" s="1"/>
  <c r="J172" i="3"/>
  <c r="K172" i="3" s="1"/>
  <c r="I172" i="3" s="1"/>
  <c r="J171" i="3"/>
  <c r="K171" i="3" s="1"/>
  <c r="J169" i="3"/>
  <c r="K169" i="3" s="1"/>
  <c r="I169" i="3" s="1"/>
  <c r="J168" i="3"/>
  <c r="K168" i="3" s="1"/>
  <c r="I168" i="3" s="1"/>
  <c r="J167" i="3"/>
  <c r="K167" i="3" s="1"/>
  <c r="I167" i="3" s="1"/>
  <c r="J166" i="3"/>
  <c r="K166" i="3" s="1"/>
  <c r="J165" i="3"/>
  <c r="K165" i="3" s="1"/>
  <c r="E47" i="12" s="1"/>
  <c r="J118" i="3"/>
  <c r="K118" i="3" s="1"/>
  <c r="I118" i="3" s="1"/>
  <c r="J117" i="3"/>
  <c r="K117" i="3" s="1"/>
  <c r="I117" i="3" s="1"/>
  <c r="J116" i="3"/>
  <c r="K116" i="3" s="1"/>
  <c r="J115" i="3"/>
  <c r="K115" i="3" s="1"/>
  <c r="I115" i="3" s="1"/>
  <c r="J114" i="3"/>
  <c r="K114" i="3" s="1"/>
  <c r="E35" i="12" s="1"/>
  <c r="J121" i="3"/>
  <c r="K121" i="3" s="1"/>
  <c r="I121" i="3" s="1"/>
  <c r="J122" i="3"/>
  <c r="K122" i="3" s="1"/>
  <c r="J123" i="3"/>
  <c r="K123" i="3" s="1"/>
  <c r="I123" i="3" s="1"/>
  <c r="J124" i="3"/>
  <c r="K124" i="3" s="1"/>
  <c r="I124" i="3" s="1"/>
  <c r="J177" i="3"/>
  <c r="E48" i="12" l="1"/>
  <c r="I173" i="3"/>
  <c r="H48" i="12"/>
  <c r="I166" i="3"/>
  <c r="H47" i="12"/>
  <c r="I122" i="3"/>
  <c r="I116" i="3"/>
  <c r="H35" i="12"/>
  <c r="I165" i="3"/>
  <c r="I114" i="3"/>
  <c r="I171" i="3"/>
  <c r="J176" i="3"/>
  <c r="K176" i="3" s="1"/>
  <c r="I176" i="3" s="1"/>
  <c r="J119" i="3"/>
  <c r="K119" i="3" s="1"/>
  <c r="I119" i="3" s="1"/>
  <c r="I48" i="12" l="1"/>
  <c r="I47" i="12"/>
  <c r="I35" i="12"/>
  <c r="J201" i="3"/>
  <c r="K201" i="3" s="1"/>
  <c r="I201" i="3" s="1"/>
  <c r="J197" i="3"/>
  <c r="E23" i="6"/>
  <c r="G23" i="6" s="1"/>
  <c r="H23" i="6" s="1"/>
  <c r="E22" i="6"/>
  <c r="G22" i="6" s="1"/>
  <c r="H22" i="6" s="1"/>
  <c r="E19" i="6"/>
  <c r="G19" i="6" s="1"/>
  <c r="H19" i="6" s="1"/>
  <c r="J213" i="3"/>
  <c r="K213" i="3" s="1"/>
  <c r="I213" i="3" s="1"/>
  <c r="J212" i="3"/>
  <c r="K212" i="3" s="1"/>
  <c r="I212" i="3" s="1"/>
  <c r="J211" i="3"/>
  <c r="J210" i="3"/>
  <c r="K210" i="3" s="1"/>
  <c r="I210" i="3" s="1"/>
  <c r="J209" i="3"/>
  <c r="K209" i="3" s="1"/>
  <c r="J207" i="3"/>
  <c r="K207" i="3" s="1"/>
  <c r="I207" i="3" s="1"/>
  <c r="J206" i="3"/>
  <c r="K206" i="3" s="1"/>
  <c r="J205" i="3"/>
  <c r="K205" i="3" s="1"/>
  <c r="I205" i="3" s="1"/>
  <c r="J204" i="3"/>
  <c r="J203" i="3"/>
  <c r="K203" i="3" s="1"/>
  <c r="J120" i="3"/>
  <c r="J194" i="3"/>
  <c r="K194" i="3" s="1"/>
  <c r="I194" i="3" s="1"/>
  <c r="J193" i="3"/>
  <c r="K193" i="3" s="1"/>
  <c r="I193" i="3" s="1"/>
  <c r="J192" i="3"/>
  <c r="J191" i="3"/>
  <c r="K191" i="3" s="1"/>
  <c r="I191" i="3" s="1"/>
  <c r="J190" i="3"/>
  <c r="K190" i="3" s="1"/>
  <c r="J187" i="3"/>
  <c r="K187" i="3" s="1"/>
  <c r="I187" i="3" s="1"/>
  <c r="J186" i="3"/>
  <c r="K186" i="3" s="1"/>
  <c r="J185" i="3"/>
  <c r="K185" i="3" s="1"/>
  <c r="I185" i="3" s="1"/>
  <c r="J184" i="3"/>
  <c r="K184" i="3" s="1"/>
  <c r="I184" i="3" s="1"/>
  <c r="J183" i="3"/>
  <c r="K183" i="3" s="1"/>
  <c r="J181" i="3"/>
  <c r="K181" i="3" s="1"/>
  <c r="I181" i="3" s="1"/>
  <c r="J180" i="3"/>
  <c r="J179" i="3"/>
  <c r="K179" i="3" s="1"/>
  <c r="J178" i="3"/>
  <c r="K177" i="3"/>
  <c r="J163" i="3"/>
  <c r="K163" i="3" s="1"/>
  <c r="I163" i="3" s="1"/>
  <c r="J162" i="3"/>
  <c r="K162" i="3" s="1"/>
  <c r="I162" i="3" s="1"/>
  <c r="J161" i="3"/>
  <c r="K161" i="3" s="1"/>
  <c r="J160" i="3"/>
  <c r="K160" i="3" s="1"/>
  <c r="I160" i="3" s="1"/>
  <c r="J159" i="3"/>
  <c r="K159" i="3" s="1"/>
  <c r="J157" i="3"/>
  <c r="K157" i="3" s="1"/>
  <c r="I157" i="3" s="1"/>
  <c r="J156" i="3"/>
  <c r="J155" i="3"/>
  <c r="K155" i="3" s="1"/>
  <c r="I155" i="3" s="1"/>
  <c r="J154" i="3"/>
  <c r="K154" i="3" s="1"/>
  <c r="I154" i="3" s="1"/>
  <c r="J153" i="3"/>
  <c r="K153" i="3" s="1"/>
  <c r="J130" i="3"/>
  <c r="K130" i="3" s="1"/>
  <c r="I130" i="3" s="1"/>
  <c r="J129" i="3"/>
  <c r="K129" i="3" s="1"/>
  <c r="I129" i="3" s="1"/>
  <c r="J128" i="3"/>
  <c r="K128" i="3" s="1"/>
  <c r="I128" i="3" s="1"/>
  <c r="J127" i="3"/>
  <c r="K127" i="3" s="1"/>
  <c r="J126" i="3"/>
  <c r="K126" i="3" s="1"/>
  <c r="J151" i="3"/>
  <c r="K151" i="3" s="1"/>
  <c r="I151" i="3" s="1"/>
  <c r="J150" i="3"/>
  <c r="K150" i="3" s="1"/>
  <c r="I150" i="3" s="1"/>
  <c r="J149" i="3"/>
  <c r="K149" i="3" s="1"/>
  <c r="I149" i="3" s="1"/>
  <c r="J148" i="3"/>
  <c r="K148" i="3" s="1"/>
  <c r="I148" i="3" s="1"/>
  <c r="J147" i="3"/>
  <c r="K147" i="3" s="1"/>
  <c r="J144" i="3"/>
  <c r="K144" i="3" s="1"/>
  <c r="I144" i="3" s="1"/>
  <c r="J143" i="3"/>
  <c r="K143" i="3" s="1"/>
  <c r="I143" i="3" s="1"/>
  <c r="J142" i="3"/>
  <c r="K142" i="3" s="1"/>
  <c r="J141" i="3"/>
  <c r="K141" i="3" s="1"/>
  <c r="I141" i="3" s="1"/>
  <c r="J140" i="3"/>
  <c r="J137" i="3"/>
  <c r="K137" i="3" s="1"/>
  <c r="I137" i="3" s="1"/>
  <c r="J136" i="3"/>
  <c r="K136" i="3" s="1"/>
  <c r="I136" i="3" s="1"/>
  <c r="J135" i="3"/>
  <c r="K135" i="3" s="1"/>
  <c r="J134" i="3"/>
  <c r="K134" i="3" s="1"/>
  <c r="I134" i="3" s="1"/>
  <c r="J133" i="3"/>
  <c r="K133" i="3" s="1"/>
  <c r="J112" i="3"/>
  <c r="K112" i="3" s="1"/>
  <c r="I112" i="3" s="1"/>
  <c r="J111" i="3"/>
  <c r="K111" i="3" s="1"/>
  <c r="I111" i="3" s="1"/>
  <c r="J110" i="3"/>
  <c r="K110" i="3" s="1"/>
  <c r="J109" i="3"/>
  <c r="K109" i="3" s="1"/>
  <c r="I109" i="3" s="1"/>
  <c r="J108" i="3"/>
  <c r="K108" i="3" s="1"/>
  <c r="J106" i="3"/>
  <c r="K106" i="3" s="1"/>
  <c r="I106" i="3" s="1"/>
  <c r="J105" i="3"/>
  <c r="K105" i="3" s="1"/>
  <c r="I105" i="3" s="1"/>
  <c r="J104" i="3"/>
  <c r="K104" i="3" s="1"/>
  <c r="I104" i="3" s="1"/>
  <c r="J103" i="3"/>
  <c r="K103" i="3" s="1"/>
  <c r="J102" i="3"/>
  <c r="J99" i="3"/>
  <c r="K99" i="3" s="1"/>
  <c r="I99" i="3" s="1"/>
  <c r="J98" i="3"/>
  <c r="K98" i="3" s="1"/>
  <c r="I98" i="3" s="1"/>
  <c r="J96" i="3"/>
  <c r="K96" i="3" s="1"/>
  <c r="J95" i="3"/>
  <c r="K95" i="3" s="1"/>
  <c r="I95" i="3" s="1"/>
  <c r="J94" i="3"/>
  <c r="K94" i="3" s="1"/>
  <c r="J92" i="3"/>
  <c r="K92" i="3" s="1"/>
  <c r="I92" i="3" s="1"/>
  <c r="J91" i="3"/>
  <c r="K91" i="3" s="1"/>
  <c r="I91" i="3" s="1"/>
  <c r="J90" i="3"/>
  <c r="K90" i="3" s="1"/>
  <c r="I90" i="3" s="1"/>
  <c r="J89" i="3"/>
  <c r="K89" i="3" s="1"/>
  <c r="J88" i="3"/>
  <c r="K88" i="3" s="1"/>
  <c r="J85" i="3"/>
  <c r="K85" i="3" s="1"/>
  <c r="I85" i="3" s="1"/>
  <c r="J84" i="3"/>
  <c r="K84" i="3" s="1"/>
  <c r="I84" i="3" s="1"/>
  <c r="J83" i="3"/>
  <c r="K83" i="3" s="1"/>
  <c r="J82" i="3"/>
  <c r="K82" i="3" s="1"/>
  <c r="I82" i="3" s="1"/>
  <c r="J81" i="3"/>
  <c r="J78" i="3"/>
  <c r="K78" i="3" s="1"/>
  <c r="I78" i="3" s="1"/>
  <c r="J77" i="3"/>
  <c r="K77" i="3" s="1"/>
  <c r="I77" i="3" s="1"/>
  <c r="J76" i="3"/>
  <c r="K76" i="3" s="1"/>
  <c r="I76" i="3" s="1"/>
  <c r="J75" i="3"/>
  <c r="K75" i="3" s="1"/>
  <c r="J74" i="3"/>
  <c r="K74" i="3" s="1"/>
  <c r="J72" i="3"/>
  <c r="K72" i="3" s="1"/>
  <c r="I72" i="3" s="1"/>
  <c r="J71" i="3"/>
  <c r="J70" i="3"/>
  <c r="K70" i="3" s="1"/>
  <c r="I70" i="3" s="1"/>
  <c r="J69" i="3"/>
  <c r="K69" i="3" s="1"/>
  <c r="I69" i="3" s="1"/>
  <c r="J68" i="3"/>
  <c r="K68" i="3" s="1"/>
  <c r="J66" i="3"/>
  <c r="K66" i="3" s="1"/>
  <c r="I66" i="3" s="1"/>
  <c r="J65" i="3"/>
  <c r="K65" i="3" s="1"/>
  <c r="I65" i="3" s="1"/>
  <c r="J64" i="3"/>
  <c r="K64" i="3" s="1"/>
  <c r="J63" i="3"/>
  <c r="K63" i="3" s="1"/>
  <c r="I63" i="3" s="1"/>
  <c r="J62" i="3"/>
  <c r="K62" i="3" s="1"/>
  <c r="J59" i="3"/>
  <c r="K59" i="3" s="1"/>
  <c r="I59" i="3" s="1"/>
  <c r="J58" i="3"/>
  <c r="K58" i="3" s="1"/>
  <c r="I58" i="3" s="1"/>
  <c r="J57" i="3"/>
  <c r="K57" i="3" s="1"/>
  <c r="J56" i="3"/>
  <c r="K56" i="3" s="1"/>
  <c r="I56" i="3" s="1"/>
  <c r="J55" i="3"/>
  <c r="J53" i="3"/>
  <c r="K53" i="3" s="1"/>
  <c r="I53" i="3" s="1"/>
  <c r="J52" i="3"/>
  <c r="K52" i="3" s="1"/>
  <c r="I52" i="3" s="1"/>
  <c r="J51" i="3"/>
  <c r="K51" i="3" s="1"/>
  <c r="I51" i="3" s="1"/>
  <c r="J50" i="3"/>
  <c r="K50" i="3" s="1"/>
  <c r="I50" i="3" s="1"/>
  <c r="J49" i="3"/>
  <c r="J46" i="3"/>
  <c r="K46" i="3" s="1"/>
  <c r="I46" i="3" s="1"/>
  <c r="J45" i="3"/>
  <c r="K45" i="3" s="1"/>
  <c r="I45" i="3" s="1"/>
  <c r="J44" i="3"/>
  <c r="K44" i="3" s="1"/>
  <c r="J43" i="3"/>
  <c r="J42" i="3"/>
  <c r="J40" i="3"/>
  <c r="K40" i="3" s="1"/>
  <c r="I40" i="3" s="1"/>
  <c r="J39" i="3"/>
  <c r="K39" i="3" s="1"/>
  <c r="I39" i="3" s="1"/>
  <c r="J38" i="3"/>
  <c r="K38" i="3" s="1"/>
  <c r="I38" i="3" s="1"/>
  <c r="J37" i="3"/>
  <c r="K37" i="3" s="1"/>
  <c r="I37" i="3" s="1"/>
  <c r="J36" i="3"/>
  <c r="K36" i="3" s="1"/>
  <c r="J34" i="3"/>
  <c r="K34" i="3" s="1"/>
  <c r="I34" i="3" s="1"/>
  <c r="J33" i="3"/>
  <c r="K33" i="3" s="1"/>
  <c r="I33" i="3" s="1"/>
  <c r="J32" i="3"/>
  <c r="K32" i="3" s="1"/>
  <c r="I32" i="3" s="1"/>
  <c r="J31" i="3"/>
  <c r="K31" i="3" s="1"/>
  <c r="J30" i="3"/>
  <c r="J27" i="3"/>
  <c r="K27" i="3" s="1"/>
  <c r="I27" i="3" s="1"/>
  <c r="J26" i="3"/>
  <c r="K26" i="3" s="1"/>
  <c r="I26" i="3" s="1"/>
  <c r="J25" i="3"/>
  <c r="K25" i="3" s="1"/>
  <c r="I25" i="3" s="1"/>
  <c r="J24" i="3"/>
  <c r="K24" i="3" s="1"/>
  <c r="I24" i="3" s="1"/>
  <c r="J23" i="3"/>
  <c r="K23" i="3" s="1"/>
  <c r="J20" i="3"/>
  <c r="K20" i="3" s="1"/>
  <c r="I20" i="3" s="1"/>
  <c r="J19" i="3"/>
  <c r="K19" i="3" s="1"/>
  <c r="I19" i="3" s="1"/>
  <c r="J18" i="3"/>
  <c r="K18" i="3" s="1"/>
  <c r="I18" i="3" s="1"/>
  <c r="J17" i="3"/>
  <c r="K17" i="3" s="1"/>
  <c r="J16" i="3"/>
  <c r="J13" i="3"/>
  <c r="K13" i="3" s="1"/>
  <c r="I13" i="3" s="1"/>
  <c r="J12" i="3"/>
  <c r="K12" i="3" s="1"/>
  <c r="I12" i="3" s="1"/>
  <c r="J11" i="3"/>
  <c r="K11" i="3" s="1"/>
  <c r="J10" i="3"/>
  <c r="K10" i="3" s="1"/>
  <c r="J9" i="3"/>
  <c r="K9" i="3" s="1"/>
  <c r="I96" i="3" l="1"/>
  <c r="C58" i="6"/>
  <c r="C56" i="6" s="1"/>
  <c r="C12" i="6"/>
  <c r="D10" i="6"/>
  <c r="I11" i="3"/>
  <c r="C10" i="6"/>
  <c r="E10" i="6"/>
  <c r="I10" i="3"/>
  <c r="D11" i="6"/>
  <c r="E50" i="12"/>
  <c r="E34" i="12"/>
  <c r="E24" i="12"/>
  <c r="E39" i="12"/>
  <c r="E46" i="12"/>
  <c r="E31" i="12"/>
  <c r="H31" i="12"/>
  <c r="H15" i="12"/>
  <c r="E15" i="12"/>
  <c r="E26" i="12"/>
  <c r="E44" i="12"/>
  <c r="H44" i="12"/>
  <c r="H18" i="12"/>
  <c r="E18" i="12"/>
  <c r="E30" i="12"/>
  <c r="H11" i="12"/>
  <c r="E11" i="12"/>
  <c r="E37" i="12"/>
  <c r="I206" i="3"/>
  <c r="I186" i="3"/>
  <c r="H50" i="12"/>
  <c r="I179" i="3"/>
  <c r="I161" i="3"/>
  <c r="H46" i="12"/>
  <c r="I142" i="3"/>
  <c r="I135" i="3"/>
  <c r="H39" i="12"/>
  <c r="I127" i="3"/>
  <c r="H37" i="12"/>
  <c r="I110" i="3"/>
  <c r="H34" i="12"/>
  <c r="I103" i="3"/>
  <c r="I89" i="3"/>
  <c r="H30" i="12"/>
  <c r="I83" i="3"/>
  <c r="I75" i="3"/>
  <c r="H26" i="12"/>
  <c r="I64" i="3"/>
  <c r="H24" i="12"/>
  <c r="I57" i="3"/>
  <c r="I44" i="3"/>
  <c r="I31" i="3"/>
  <c r="I17" i="3"/>
  <c r="I126" i="3"/>
  <c r="I9" i="3"/>
  <c r="I62" i="3"/>
  <c r="I133" i="3"/>
  <c r="I190" i="3"/>
  <c r="I94" i="3"/>
  <c r="I23" i="3"/>
  <c r="I74" i="3"/>
  <c r="I183" i="3"/>
  <c r="I209" i="3"/>
  <c r="I88" i="3"/>
  <c r="K197" i="3"/>
  <c r="J202" i="3"/>
  <c r="I108" i="3"/>
  <c r="I36" i="3"/>
  <c r="I153" i="3"/>
  <c r="I68" i="3"/>
  <c r="I159" i="3"/>
  <c r="I147" i="3"/>
  <c r="I177" i="3"/>
  <c r="I203" i="3"/>
  <c r="D9" i="6"/>
  <c r="D20" i="6"/>
  <c r="E13" i="6"/>
  <c r="G13" i="6" s="1"/>
  <c r="H13" i="6" s="1"/>
  <c r="D51" i="6"/>
  <c r="E18" i="6"/>
  <c r="G18" i="6" s="1"/>
  <c r="H18" i="6" s="1"/>
  <c r="C47" i="6"/>
  <c r="C14" i="6"/>
  <c r="C49" i="6"/>
  <c r="E21" i="6"/>
  <c r="G21" i="6" s="1"/>
  <c r="H21" i="6" s="1"/>
  <c r="D34" i="6"/>
  <c r="D31" i="6" s="1"/>
  <c r="D47" i="6"/>
  <c r="D38" i="6"/>
  <c r="D36" i="6" s="1"/>
  <c r="C9" i="6"/>
  <c r="E30" i="6"/>
  <c r="G30" i="6" s="1"/>
  <c r="H30" i="6" s="1"/>
  <c r="C32" i="6"/>
  <c r="C31" i="6" s="1"/>
  <c r="C48" i="6"/>
  <c r="E45" i="6"/>
  <c r="E44" i="6" s="1"/>
  <c r="C45" i="6"/>
  <c r="C44" i="6" s="1"/>
  <c r="C38" i="6"/>
  <c r="C36" i="6" s="1"/>
  <c r="D38" i="12"/>
  <c r="E16" i="6"/>
  <c r="G16" i="6" s="1"/>
  <c r="H16" i="6" s="1"/>
  <c r="K30" i="3"/>
  <c r="E17" i="12" s="1"/>
  <c r="H34" i="7"/>
  <c r="E11" i="6"/>
  <c r="E50" i="6"/>
  <c r="G50" i="6" s="1"/>
  <c r="H50" i="6" s="1"/>
  <c r="E43" i="6"/>
  <c r="G43" i="6" s="1"/>
  <c r="H43" i="6" s="1"/>
  <c r="E42" i="6"/>
  <c r="G42" i="6" s="1"/>
  <c r="H42" i="6" s="1"/>
  <c r="E20" i="6"/>
  <c r="E58" i="6"/>
  <c r="G58" i="6" s="1"/>
  <c r="H58" i="6" s="1"/>
  <c r="K178" i="3"/>
  <c r="I178" i="3" s="1"/>
  <c r="J170" i="3"/>
  <c r="K170" i="3" s="1"/>
  <c r="I170" i="3" s="1"/>
  <c r="K120" i="3"/>
  <c r="J125" i="3"/>
  <c r="K125" i="3" s="1"/>
  <c r="I125" i="3" s="1"/>
  <c r="E35" i="6"/>
  <c r="G35" i="6" s="1"/>
  <c r="H35" i="6" s="1"/>
  <c r="E39" i="6"/>
  <c r="G39" i="6" s="1"/>
  <c r="H39" i="6" s="1"/>
  <c r="E28" i="6"/>
  <c r="G28" i="6" s="1"/>
  <c r="H28" i="6" s="1"/>
  <c r="E27" i="6"/>
  <c r="G27" i="6" s="1"/>
  <c r="H27" i="6" s="1"/>
  <c r="E34" i="6"/>
  <c r="E49" i="6"/>
  <c r="E38" i="6"/>
  <c r="E33" i="6"/>
  <c r="G33" i="6" s="1"/>
  <c r="H33" i="6" s="1"/>
  <c r="E26" i="6"/>
  <c r="G26" i="6" s="1"/>
  <c r="H26" i="6" s="1"/>
  <c r="E47" i="6"/>
  <c r="K42" i="3"/>
  <c r="G42" i="7"/>
  <c r="H42" i="7"/>
  <c r="E53" i="6"/>
  <c r="G53" i="6" s="1"/>
  <c r="H53" i="6" s="1"/>
  <c r="E48" i="6"/>
  <c r="E12" i="6"/>
  <c r="J214" i="3"/>
  <c r="K214" i="3" s="1"/>
  <c r="I214" i="3" s="1"/>
  <c r="J35" i="3"/>
  <c r="J14" i="3"/>
  <c r="J164" i="3"/>
  <c r="K164" i="3" s="1"/>
  <c r="I164" i="3" s="1"/>
  <c r="J79" i="3"/>
  <c r="K79" i="3" s="1"/>
  <c r="I79" i="3" s="1"/>
  <c r="J208" i="3"/>
  <c r="K208" i="3" s="1"/>
  <c r="I208" i="3" s="1"/>
  <c r="J182" i="3"/>
  <c r="K182" i="3" s="1"/>
  <c r="I182" i="3" s="1"/>
  <c r="J100" i="3"/>
  <c r="K100" i="3" s="1"/>
  <c r="I100" i="3" s="1"/>
  <c r="J73" i="3"/>
  <c r="K73" i="3" s="1"/>
  <c r="I73" i="3" s="1"/>
  <c r="J86" i="3"/>
  <c r="J87" i="3" s="1"/>
  <c r="J107" i="3"/>
  <c r="J138" i="3"/>
  <c r="J131" i="3"/>
  <c r="K131" i="3" s="1"/>
  <c r="I131" i="3" s="1"/>
  <c r="J21" i="3"/>
  <c r="J47" i="3"/>
  <c r="K47" i="3" s="1"/>
  <c r="I47" i="3" s="1"/>
  <c r="J145" i="3"/>
  <c r="J195" i="3"/>
  <c r="J196" i="3" s="1"/>
  <c r="K196" i="3" s="1"/>
  <c r="I196" i="3" s="1"/>
  <c r="J60" i="3"/>
  <c r="K60" i="3" s="1"/>
  <c r="I60" i="3" s="1"/>
  <c r="J113" i="3"/>
  <c r="K113" i="3" s="1"/>
  <c r="I113" i="3" s="1"/>
  <c r="J28" i="3"/>
  <c r="J67" i="3"/>
  <c r="J158" i="3"/>
  <c r="K158" i="3" s="1"/>
  <c r="I158" i="3" s="1"/>
  <c r="J54" i="3"/>
  <c r="J188" i="3"/>
  <c r="K188" i="3" s="1"/>
  <c r="I188" i="3" s="1"/>
  <c r="K16" i="3"/>
  <c r="E13" i="12" s="1"/>
  <c r="K43" i="3"/>
  <c r="I43" i="3" s="1"/>
  <c r="K55" i="3"/>
  <c r="E22" i="12" s="1"/>
  <c r="K71" i="3"/>
  <c r="I71" i="3" s="1"/>
  <c r="K156" i="3"/>
  <c r="I156" i="3" s="1"/>
  <c r="K180" i="3"/>
  <c r="I180" i="3" s="1"/>
  <c r="K192" i="3"/>
  <c r="E52" i="12" s="1"/>
  <c r="K204" i="3"/>
  <c r="I204" i="3" s="1"/>
  <c r="K211" i="3"/>
  <c r="E56" i="12" s="1"/>
  <c r="J41" i="3"/>
  <c r="K41" i="3" s="1"/>
  <c r="I41" i="3" s="1"/>
  <c r="J93" i="3"/>
  <c r="J152" i="3"/>
  <c r="K49" i="3"/>
  <c r="K81" i="3"/>
  <c r="E28" i="12" s="1"/>
  <c r="K102" i="3"/>
  <c r="E33" i="12" s="1"/>
  <c r="K140" i="3"/>
  <c r="E41" i="12" s="1"/>
  <c r="G12" i="6" l="1"/>
  <c r="H12" i="6" s="1"/>
  <c r="G11" i="6"/>
  <c r="H11" i="6" s="1"/>
  <c r="G10" i="6"/>
  <c r="H10" i="6" s="1"/>
  <c r="I31" i="12"/>
  <c r="I50" i="12"/>
  <c r="I44" i="12"/>
  <c r="I18" i="12"/>
  <c r="I15" i="12"/>
  <c r="I14" i="12" s="1"/>
  <c r="H13" i="12"/>
  <c r="H33" i="12"/>
  <c r="H41" i="12"/>
  <c r="H55" i="12"/>
  <c r="E21" i="12"/>
  <c r="H21" i="12"/>
  <c r="E19" i="12"/>
  <c r="E25" i="12"/>
  <c r="H17" i="12"/>
  <c r="I17" i="12" s="1"/>
  <c r="H25" i="12"/>
  <c r="H23" i="12" s="1"/>
  <c r="H54" i="12"/>
  <c r="E54" i="12"/>
  <c r="H19" i="12"/>
  <c r="H28" i="12"/>
  <c r="H49" i="12"/>
  <c r="E55" i="12"/>
  <c r="H45" i="12"/>
  <c r="E36" i="12"/>
  <c r="H36" i="12"/>
  <c r="E49" i="12"/>
  <c r="E45" i="12"/>
  <c r="H22" i="12"/>
  <c r="I22" i="12" s="1"/>
  <c r="I211" i="3"/>
  <c r="H56" i="12"/>
  <c r="I56" i="12" s="1"/>
  <c r="C17" i="6"/>
  <c r="C8" i="6" s="1"/>
  <c r="I192" i="3"/>
  <c r="H52" i="12"/>
  <c r="I52" i="12" s="1"/>
  <c r="I51" i="12" s="1"/>
  <c r="I46" i="12"/>
  <c r="I37" i="12"/>
  <c r="I34" i="12"/>
  <c r="I26" i="12"/>
  <c r="I24" i="12"/>
  <c r="I102" i="3"/>
  <c r="I16" i="3"/>
  <c r="H29" i="12"/>
  <c r="H38" i="12"/>
  <c r="I140" i="3"/>
  <c r="I197" i="3"/>
  <c r="I81" i="3"/>
  <c r="I120" i="3"/>
  <c r="H10" i="12"/>
  <c r="I30" i="3"/>
  <c r="H14" i="12"/>
  <c r="I49" i="3"/>
  <c r="I55" i="3"/>
  <c r="I42" i="3"/>
  <c r="E14" i="12"/>
  <c r="H14" i="5" s="1"/>
  <c r="G20" i="6"/>
  <c r="H20" i="6" s="1"/>
  <c r="G34" i="6"/>
  <c r="H34" i="6" s="1"/>
  <c r="D46" i="6"/>
  <c r="G48" i="6"/>
  <c r="H48" i="6" s="1"/>
  <c r="C46" i="6"/>
  <c r="I39" i="12"/>
  <c r="I38" i="12" s="1"/>
  <c r="G49" i="6"/>
  <c r="H49" i="6" s="1"/>
  <c r="G44" i="6"/>
  <c r="H44" i="6" s="1"/>
  <c r="E32" i="6"/>
  <c r="G32" i="6" s="1"/>
  <c r="H32" i="6" s="1"/>
  <c r="D17" i="6"/>
  <c r="D8" i="6" s="1"/>
  <c r="E37" i="6"/>
  <c r="G37" i="6" s="1"/>
  <c r="H37" i="6" s="1"/>
  <c r="E15" i="6"/>
  <c r="G15" i="6" s="1"/>
  <c r="H15" i="6" s="1"/>
  <c r="D40" i="12"/>
  <c r="E51" i="6"/>
  <c r="G51" i="6" s="1"/>
  <c r="H51" i="6" s="1"/>
  <c r="G47" i="6"/>
  <c r="H47" i="6" s="1"/>
  <c r="G38" i="6"/>
  <c r="H38" i="6" s="1"/>
  <c r="G45" i="6"/>
  <c r="H45" i="6" s="1"/>
  <c r="D14" i="12"/>
  <c r="E17" i="6"/>
  <c r="I11" i="12"/>
  <c r="I10" i="12" s="1"/>
  <c r="D10" i="12"/>
  <c r="E25" i="6"/>
  <c r="G25" i="6" s="1"/>
  <c r="H25" i="6" s="1"/>
  <c r="I30" i="12"/>
  <c r="D29" i="12"/>
  <c r="E55" i="6"/>
  <c r="E14" i="6"/>
  <c r="G14" i="6" s="1"/>
  <c r="H14" i="6" s="1"/>
  <c r="E57" i="6"/>
  <c r="E41" i="6"/>
  <c r="G41" i="6" s="1"/>
  <c r="H41" i="6" s="1"/>
  <c r="E29" i="6"/>
  <c r="G29" i="6" s="1"/>
  <c r="H29" i="6" s="1"/>
  <c r="J101" i="3"/>
  <c r="K101" i="3" s="1"/>
  <c r="I101" i="3" s="1"/>
  <c r="J189" i="3"/>
  <c r="K189" i="3" s="1"/>
  <c r="I189" i="3" s="1"/>
  <c r="J80" i="3"/>
  <c r="K80" i="3" s="1"/>
  <c r="I80" i="3" s="1"/>
  <c r="K202" i="3"/>
  <c r="I202" i="3" s="1"/>
  <c r="J215" i="3"/>
  <c r="K215" i="3" s="1"/>
  <c r="I215" i="3" s="1"/>
  <c r="J146" i="3"/>
  <c r="K146" i="3" s="1"/>
  <c r="I146" i="3" s="1"/>
  <c r="J139" i="3"/>
  <c r="K139" i="3" s="1"/>
  <c r="I139" i="3" s="1"/>
  <c r="K107" i="3"/>
  <c r="I107" i="3" s="1"/>
  <c r="J132" i="3"/>
  <c r="K132" i="3" s="1"/>
  <c r="I132" i="3" s="1"/>
  <c r="K35" i="3"/>
  <c r="I35" i="3" s="1"/>
  <c r="J48" i="3"/>
  <c r="K48" i="3" s="1"/>
  <c r="I48" i="3" s="1"/>
  <c r="J22" i="3"/>
  <c r="K22" i="3" s="1"/>
  <c r="I22" i="3" s="1"/>
  <c r="K54" i="3"/>
  <c r="I54" i="3" s="1"/>
  <c r="J61" i="3"/>
  <c r="K61" i="3" s="1"/>
  <c r="I61" i="3" s="1"/>
  <c r="K14" i="3"/>
  <c r="I14" i="3" s="1"/>
  <c r="J15" i="3"/>
  <c r="J29" i="3"/>
  <c r="K29" i="3" s="1"/>
  <c r="I29" i="3" s="1"/>
  <c r="E9" i="6"/>
  <c r="G9" i="6" s="1"/>
  <c r="H9" i="6" s="1"/>
  <c r="E52" i="6"/>
  <c r="E40" i="6"/>
  <c r="K195" i="3"/>
  <c r="I195" i="3" s="1"/>
  <c r="K87" i="3"/>
  <c r="I87" i="3" s="1"/>
  <c r="K138" i="3"/>
  <c r="I138" i="3" s="1"/>
  <c r="K86" i="3"/>
  <c r="I86" i="3" s="1"/>
  <c r="K28" i="3"/>
  <c r="I28" i="3" s="1"/>
  <c r="K145" i="3"/>
  <c r="I145" i="3" s="1"/>
  <c r="K67" i="3"/>
  <c r="I67" i="3" s="1"/>
  <c r="K21" i="3"/>
  <c r="I21" i="3" s="1"/>
  <c r="K93" i="3"/>
  <c r="I93" i="3" s="1"/>
  <c r="K152" i="3"/>
  <c r="I152" i="3" s="1"/>
  <c r="I29" i="12" l="1"/>
  <c r="D60" i="6"/>
  <c r="D61" i="6" s="1"/>
  <c r="D62" i="6" s="1"/>
  <c r="I49" i="12"/>
  <c r="I45" i="12"/>
  <c r="I36" i="12"/>
  <c r="I19" i="12"/>
  <c r="I16" i="12" s="1"/>
  <c r="H43" i="12"/>
  <c r="I54" i="12"/>
  <c r="H20" i="12"/>
  <c r="H53" i="12"/>
  <c r="H51" i="12"/>
  <c r="H12" i="12"/>
  <c r="H16" i="12"/>
  <c r="H40" i="12"/>
  <c r="H32" i="12"/>
  <c r="H27" i="12"/>
  <c r="E38" i="12"/>
  <c r="H21" i="5" s="1"/>
  <c r="E10" i="12"/>
  <c r="H12" i="5" s="1"/>
  <c r="E29" i="12"/>
  <c r="H19" i="5" s="1"/>
  <c r="E51" i="12"/>
  <c r="H25" i="5" s="1"/>
  <c r="E14" i="5"/>
  <c r="I14" i="5" s="1"/>
  <c r="C60" i="6"/>
  <c r="C61" i="6" s="1"/>
  <c r="C62" i="6" s="1"/>
  <c r="G17" i="6"/>
  <c r="H17" i="6" s="1"/>
  <c r="E31" i="6"/>
  <c r="G31" i="6" s="1"/>
  <c r="H31" i="6" s="1"/>
  <c r="I41" i="12"/>
  <c r="I40" i="12" s="1"/>
  <c r="D51" i="12"/>
  <c r="E54" i="6"/>
  <c r="G54" i="6" s="1"/>
  <c r="H54" i="6" s="1"/>
  <c r="G55" i="6"/>
  <c r="H55" i="6" s="1"/>
  <c r="E36" i="6"/>
  <c r="G36" i="6" s="1"/>
  <c r="H36" i="6" s="1"/>
  <c r="G40" i="6"/>
  <c r="H40" i="6" s="1"/>
  <c r="E56" i="6"/>
  <c r="G56" i="6" s="1"/>
  <c r="H56" i="6" s="1"/>
  <c r="G57" i="6"/>
  <c r="H57" i="6" s="1"/>
  <c r="E46" i="6"/>
  <c r="G46" i="6" s="1"/>
  <c r="H46" i="6" s="1"/>
  <c r="G52" i="6"/>
  <c r="H52" i="6" s="1"/>
  <c r="E43" i="12"/>
  <c r="H24" i="5" s="1"/>
  <c r="D43" i="12"/>
  <c r="E8" i="6"/>
  <c r="E24" i="6"/>
  <c r="G24" i="6" s="1"/>
  <c r="H24" i="6" s="1"/>
  <c r="I55" i="12"/>
  <c r="D53" i="12"/>
  <c r="D16" i="12"/>
  <c r="I25" i="12"/>
  <c r="I23" i="12" s="1"/>
  <c r="D23" i="12"/>
  <c r="E16" i="12"/>
  <c r="H15" i="5" s="1"/>
  <c r="I33" i="12"/>
  <c r="D32" i="12"/>
  <c r="I13" i="12"/>
  <c r="I12" i="12" s="1"/>
  <c r="D12" i="12"/>
  <c r="I21" i="12"/>
  <c r="I20" i="12" s="1"/>
  <c r="D20" i="12"/>
  <c r="I28" i="12"/>
  <c r="I27" i="12" s="1"/>
  <c r="D27" i="12"/>
  <c r="K15" i="3"/>
  <c r="J216" i="3"/>
  <c r="J217" i="3" s="1"/>
  <c r="J218" i="3" s="1"/>
  <c r="I32" i="12" l="1"/>
  <c r="I43" i="12"/>
  <c r="I53" i="12"/>
  <c r="G8" i="6"/>
  <c r="H8" i="6" s="1"/>
  <c r="H42" i="12"/>
  <c r="H9" i="12"/>
  <c r="E12" i="5"/>
  <c r="I12" i="5" s="1"/>
  <c r="E15" i="5"/>
  <c r="I15" i="5" s="1"/>
  <c r="E24" i="5"/>
  <c r="I24" i="5" s="1"/>
  <c r="E20" i="12"/>
  <c r="H16" i="5" s="1"/>
  <c r="E23" i="12"/>
  <c r="H17" i="5" s="1"/>
  <c r="E25" i="5"/>
  <c r="I25" i="5" s="1"/>
  <c r="E40" i="12"/>
  <c r="H22" i="5" s="1"/>
  <c r="E21" i="5" a="1"/>
  <c r="E21" i="5" s="1"/>
  <c r="I21" i="5" s="1"/>
  <c r="E12" i="12"/>
  <c r="H13" i="5" s="1"/>
  <c r="E19" i="5"/>
  <c r="I19" i="5" s="1"/>
  <c r="E27" i="12"/>
  <c r="H18" i="5" s="1"/>
  <c r="E53" i="12"/>
  <c r="E32" i="12"/>
  <c r="H20" i="5" s="1"/>
  <c r="K216" i="3"/>
  <c r="G60" i="6" s="1"/>
  <c r="I15" i="3"/>
  <c r="D42" i="12"/>
  <c r="E60" i="6"/>
  <c r="D9" i="12"/>
  <c r="I42" i="12" l="1"/>
  <c r="E42" i="12"/>
  <c r="H26" i="5"/>
  <c r="H23" i="5" s="1"/>
  <c r="H11" i="5"/>
  <c r="H57" i="12"/>
  <c r="H60" i="6"/>
  <c r="I60" i="6" s="1"/>
  <c r="E9" i="12"/>
  <c r="E20" i="5"/>
  <c r="I20" i="5" s="1"/>
  <c r="E26" i="5"/>
  <c r="E16" i="5"/>
  <c r="I16" i="5" s="1"/>
  <c r="E17" i="5"/>
  <c r="I17" i="5" s="1"/>
  <c r="E18" i="5"/>
  <c r="I18" i="5" s="1"/>
  <c r="E22" i="5"/>
  <c r="I22" i="5" s="1"/>
  <c r="E13" i="5"/>
  <c r="I13" i="5" s="1"/>
  <c r="K217" i="3"/>
  <c r="G61" i="6" s="1"/>
  <c r="D57" i="12"/>
  <c r="E61" i="6"/>
  <c r="E23" i="5" l="1"/>
  <c r="I23" i="5" s="1"/>
  <c r="I26" i="5"/>
  <c r="E57" i="12"/>
  <c r="H61" i="6"/>
  <c r="I9" i="12"/>
  <c r="I57" i="12" s="1"/>
  <c r="E11" i="5"/>
  <c r="K218" i="3"/>
  <c r="H28" i="5" s="1"/>
  <c r="E62" i="6"/>
  <c r="E28" i="5" l="1"/>
  <c r="I28" i="5" s="1"/>
  <c r="I11" i="5"/>
  <c r="I58" i="12"/>
  <c r="H58" i="12"/>
  <c r="G62" i="6"/>
  <c r="H62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2C707A-FE84-4299-AD54-4A60C82F2B5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8E079B7-7990-4C3E-B947-07299A2CAB0C}" name="WorksheetConnection_DREF budget template 2025 SAMPLE, PSSR INCL.xlsm!BUDGET" type="102" refreshedVersion="8" minRefreshableVersion="5">
    <extLst>
      <ext xmlns:x15="http://schemas.microsoft.com/office/spreadsheetml/2010/11/main" uri="{DE250136-89BD-433C-8126-D09CA5730AF9}">
        <x15:connection id="BUDGET" autoDelete="1">
          <x15:rangePr sourceName="_xlcn.WorksheetConnection_DREFbudgettemplate2025SAMPLEPSSRINCL.xlsmBUDGET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<sst xmlns="http://schemas.openxmlformats.org/spreadsheetml/2006/main" count="760" uniqueCount="363">
  <si>
    <t xml:space="preserve">International Federation of Red Cross and Red Crescent Societies </t>
  </si>
  <si>
    <t>DREF budget tool for National Societies</t>
  </si>
  <si>
    <t>DREF202101</t>
  </si>
  <si>
    <t>National Society</t>
  </si>
  <si>
    <t>Operation</t>
  </si>
  <si>
    <t>Appeal Code</t>
  </si>
  <si>
    <t>Currency  (LC)    &amp;</t>
  </si>
  <si>
    <t>Exchange Rate</t>
  </si>
  <si>
    <t>Date</t>
  </si>
  <si>
    <t>Country National Society</t>
  </si>
  <si>
    <t>Operation Name</t>
  </si>
  <si>
    <t>Code</t>
  </si>
  <si>
    <t>CHF</t>
  </si>
  <si>
    <t>dd/mm/yyyy</t>
  </si>
  <si>
    <t>do not copy/paste to these celles,
use drop down list</t>
  </si>
  <si>
    <t>Output
Code</t>
  </si>
  <si>
    <t>Description</t>
  </si>
  <si>
    <t>Block
[select]</t>
  </si>
  <si>
    <t>Implemented by [select]</t>
  </si>
  <si>
    <t>Budget
Group</t>
  </si>
  <si>
    <t>Quantity</t>
  </si>
  <si>
    <t>Unit</t>
  </si>
  <si>
    <t>Unit
Cost LC</t>
  </si>
  <si>
    <t>Unit Cost CHF</t>
  </si>
  <si>
    <t>Total Cost LC</t>
  </si>
  <si>
    <t>Total Cost CHF</t>
  </si>
  <si>
    <t>Review / Comments</t>
  </si>
  <si>
    <t>AP005</t>
  </si>
  <si>
    <t>TOT_AP005</t>
  </si>
  <si>
    <t>Shelter assistance to households</t>
  </si>
  <si>
    <t>PO01</t>
  </si>
  <si>
    <t>Shelter and Basic Household Items</t>
  </si>
  <si>
    <t>AP007</t>
  </si>
  <si>
    <t>TOT_AP007</t>
  </si>
  <si>
    <t>Improvement of income sources</t>
  </si>
  <si>
    <t>PO02</t>
  </si>
  <si>
    <t xml:space="preserve">Livelihoods </t>
  </si>
  <si>
    <t>AP081</t>
  </si>
  <si>
    <t>TOT_AP081</t>
  </si>
  <si>
    <t>Multi-purpose cash grants</t>
  </si>
  <si>
    <t>PO03</t>
  </si>
  <si>
    <t>Multi-purpose Cash</t>
  </si>
  <si>
    <t>AP107</t>
  </si>
  <si>
    <t>TOT_AP107</t>
  </si>
  <si>
    <t>NS health capacity</t>
  </si>
  <si>
    <t>AP108</t>
  </si>
  <si>
    <t>TOT_AP108</t>
  </si>
  <si>
    <t>Health services</t>
  </si>
  <si>
    <t>AP109</t>
  </si>
  <si>
    <t>TOT_AP109</t>
  </si>
  <si>
    <t>Health services in emergencies</t>
  </si>
  <si>
    <t>PO04</t>
  </si>
  <si>
    <t>Health</t>
  </si>
  <si>
    <t>AP110</t>
  </si>
  <si>
    <t>TOT_AP110</t>
  </si>
  <si>
    <t>WASH</t>
  </si>
  <si>
    <t>AP111</t>
  </si>
  <si>
    <t>TOT_AP111</t>
  </si>
  <si>
    <t>WASH in emergencies</t>
  </si>
  <si>
    <t>PO05</t>
  </si>
  <si>
    <t>Water, Sanitation &amp; Hygiene</t>
  </si>
  <si>
    <t>AP114</t>
  </si>
  <si>
    <t>TOT_AP114</t>
  </si>
  <si>
    <t>Humanitarian values and principles</t>
  </si>
  <si>
    <t>AP116</t>
  </si>
  <si>
    <t>TOT_AP116</t>
  </si>
  <si>
    <t>Protection/gender/inclusion services</t>
  </si>
  <si>
    <t>AP117</t>
  </si>
  <si>
    <t>TOT_AP117</t>
  </si>
  <si>
    <t>Protection/gender/inclusion capacity</t>
  </si>
  <si>
    <t>PO06</t>
  </si>
  <si>
    <t>Protection, Gender and Inclusion</t>
  </si>
  <si>
    <t>AP115</t>
  </si>
  <si>
    <t>TOT_AP115</t>
  </si>
  <si>
    <t>Access to education</t>
  </si>
  <si>
    <t>PO07</t>
  </si>
  <si>
    <t>Education</t>
  </si>
  <si>
    <t>AP112</t>
  </si>
  <si>
    <t>TOT_AP112</t>
  </si>
  <si>
    <t>Support to migrants and displaced</t>
  </si>
  <si>
    <t>AP113</t>
  </si>
  <si>
    <t>TOT_AP113</t>
  </si>
  <si>
    <t>NS Migration &amp; Displacement Capacity</t>
  </si>
  <si>
    <t>PO08</t>
  </si>
  <si>
    <t>Migration</t>
  </si>
  <si>
    <t>AP101</t>
  </si>
  <si>
    <t>TOT_AP101</t>
  </si>
  <si>
    <t>Climate change adaptation</t>
  </si>
  <si>
    <t>AP103</t>
  </si>
  <si>
    <t>TOT_AP103</t>
  </si>
  <si>
    <t>Comm. risk reduction and resilience</t>
  </si>
  <si>
    <t>AP104</t>
  </si>
  <si>
    <t>TOT_AP104</t>
  </si>
  <si>
    <t>Assistance to people affected</t>
  </si>
  <si>
    <t>AP105</t>
  </si>
  <si>
    <t>TOT_AP105</t>
  </si>
  <si>
    <t>National Society Disaster Management Capacity</t>
  </si>
  <si>
    <t>AP106</t>
  </si>
  <si>
    <t>TOT_AP106</t>
  </si>
  <si>
    <t>Disaster Law</t>
  </si>
  <si>
    <t>PO09</t>
  </si>
  <si>
    <t>Risk Reduction, Climate Adaptation and Recovery</t>
  </si>
  <si>
    <t>AP129</t>
  </si>
  <si>
    <t>TOT_AP129</t>
  </si>
  <si>
    <t>Community engagement/accountability</t>
  </si>
  <si>
    <t>PO10</t>
  </si>
  <si>
    <t>Community Engagement and Accountability</t>
  </si>
  <si>
    <t>AP102</t>
  </si>
  <si>
    <t>TOT_AP102</t>
  </si>
  <si>
    <t>Climate change mitigation&amp;greening</t>
  </si>
  <si>
    <t>PO11</t>
  </si>
  <si>
    <t>Environmental Sustainability</t>
  </si>
  <si>
    <t>AP049</t>
  </si>
  <si>
    <t>TOT_AP049</t>
  </si>
  <si>
    <t>IFRC coord. in humanitarian system</t>
  </si>
  <si>
    <t>AP118</t>
  </si>
  <si>
    <t>TOT_AP118</t>
  </si>
  <si>
    <t>Engagement w. stakeholders</t>
  </si>
  <si>
    <t>AP119</t>
  </si>
  <si>
    <t>TOT_AP119</t>
  </si>
  <si>
    <t>Influencing and hum. diplomacy</t>
  </si>
  <si>
    <t>AP120</t>
  </si>
  <si>
    <t>TOT_AP120</t>
  </si>
  <si>
    <t>Innovation</t>
  </si>
  <si>
    <t>AP121</t>
  </si>
  <si>
    <t>TOT_AP121</t>
  </si>
  <si>
    <t>Digital Transformation</t>
  </si>
  <si>
    <t>AP127</t>
  </si>
  <si>
    <t>TOT_AP127</t>
  </si>
  <si>
    <t>Membership Coordination</t>
  </si>
  <si>
    <t>AP128</t>
  </si>
  <si>
    <t>TOT_AP128</t>
  </si>
  <si>
    <t>Movement Cooperation</t>
  </si>
  <si>
    <t>EA01</t>
  </si>
  <si>
    <t>Coordination and Partnerships</t>
  </si>
  <si>
    <t>AP122</t>
  </si>
  <si>
    <t>TOT_AP122</t>
  </si>
  <si>
    <t>Secretariat services strengthening</t>
  </si>
  <si>
    <t>EA02</t>
  </si>
  <si>
    <t>Secretariat Services</t>
  </si>
  <si>
    <t>AP124</t>
  </si>
  <si>
    <t>TOT_AP124</t>
  </si>
  <si>
    <t>National Society Development</t>
  </si>
  <si>
    <t>AP125</t>
  </si>
  <si>
    <t>TOT_AP125</t>
  </si>
  <si>
    <t>Volunteering development</t>
  </si>
  <si>
    <t>AP126</t>
  </si>
  <si>
    <t>TOT_AP126</t>
  </si>
  <si>
    <t>Leadership development</t>
  </si>
  <si>
    <t>EA03</t>
  </si>
  <si>
    <t>DIRECT COSTS total</t>
  </si>
  <si>
    <t>INDIRECT COSTS</t>
  </si>
  <si>
    <t>TOTAL BUDGET</t>
  </si>
  <si>
    <t>DREF OPERATION</t>
  </si>
  <si>
    <t>Operating Budget</t>
  </si>
  <si>
    <t>all amounts inclusive of indirect costs</t>
  </si>
  <si>
    <t>Planned Operations</t>
  </si>
  <si>
    <t>Enabling Approaches</t>
  </si>
  <si>
    <t>National Society Strengthening</t>
  </si>
  <si>
    <t>budget tool variance</t>
  </si>
  <si>
    <t xml:space="preserve">TOTAL BUDGET </t>
  </si>
  <si>
    <t>all amounts in Swiss Francs (CHF)</t>
  </si>
  <si>
    <t>Operating Budget by Output Codes</t>
  </si>
  <si>
    <t>Total</t>
  </si>
  <si>
    <t>direct costs</t>
  </si>
  <si>
    <t>variance</t>
  </si>
  <si>
    <t>Multipurpose cash grants</t>
  </si>
  <si>
    <t>Risk Red., Climate Adapt. and Recovery</t>
  </si>
  <si>
    <t>NS DM Capacity</t>
  </si>
  <si>
    <t>Community Engage. and Accountability</t>
  </si>
  <si>
    <t>per tool</t>
  </si>
  <si>
    <t>Budget Group</t>
  </si>
  <si>
    <t>IFRC</t>
  </si>
  <si>
    <t>CHF Value</t>
  </si>
  <si>
    <t>&lt;= filter to remove 0 lines &amp; fit on one page</t>
  </si>
  <si>
    <t>RELIEF ITEMS, CONSTRUCTION, SUPPLIES</t>
  </si>
  <si>
    <t>Shelter - Relief</t>
  </si>
  <si>
    <t>Shelter - Transitional</t>
  </si>
  <si>
    <t>Construction - Housing</t>
  </si>
  <si>
    <t>Construction - Facilities</t>
  </si>
  <si>
    <t>Construction Materials</t>
  </si>
  <si>
    <t>Clothing &amp; Textiles</t>
  </si>
  <si>
    <t>Food</t>
  </si>
  <si>
    <t>Seeds &amp; Plants</t>
  </si>
  <si>
    <t>Medical &amp; First Aid</t>
  </si>
  <si>
    <t>Teaching Materials</t>
  </si>
  <si>
    <t>Utensils &amp; Tools</t>
  </si>
  <si>
    <t>Other Supplies &amp; Services</t>
  </si>
  <si>
    <t>Emergency Response Units</t>
  </si>
  <si>
    <t>Cash Disbursment</t>
  </si>
  <si>
    <t>LAND, VEHICLE &amp; EQUIPMENT</t>
  </si>
  <si>
    <t>Land &amp; Buildings</t>
  </si>
  <si>
    <t>Vehicles</t>
  </si>
  <si>
    <t>Computers &amp; Telecom</t>
  </si>
  <si>
    <t>Office &amp; Household Equipment</t>
  </si>
  <si>
    <t>Medical Equipment</t>
  </si>
  <si>
    <t>Other Machinery &amp; Equipment</t>
  </si>
  <si>
    <t>LOGISTICS, TRANSPORT AND STORAGE</t>
  </si>
  <si>
    <t>Storage</t>
  </si>
  <si>
    <t>Distribution &amp; Monitoring</t>
  </si>
  <si>
    <t>Transport &amp; Vehicles Costs</t>
  </si>
  <si>
    <t>Logistics Services</t>
  </si>
  <si>
    <t>PERSONNEL</t>
  </si>
  <si>
    <t>International Staff</t>
  </si>
  <si>
    <t>National Staff</t>
  </si>
  <si>
    <t>National Society Staff</t>
  </si>
  <si>
    <t>Volunteers</t>
  </si>
  <si>
    <t>CONSULTANTS &amp; PROFESSIONAL FEES</t>
  </si>
  <si>
    <t>Consultants</t>
  </si>
  <si>
    <t>Professional Fees</t>
  </si>
  <si>
    <t>WORKSHOPS &amp; TRAINING</t>
  </si>
  <si>
    <t>Workshops &amp; Training</t>
  </si>
  <si>
    <t>GENERAL EXPENDITURE</t>
  </si>
  <si>
    <t>Travel</t>
  </si>
  <si>
    <t>Information &amp; Public Relations</t>
  </si>
  <si>
    <t>Office Costs</t>
  </si>
  <si>
    <t>Communications</t>
  </si>
  <si>
    <t>Financial Charges</t>
  </si>
  <si>
    <t>Other General Expenses</t>
  </si>
  <si>
    <t>Shared Office and Services Costs</t>
  </si>
  <si>
    <t>DEPRECIATION</t>
  </si>
  <si>
    <t>Assets Depreciation</t>
  </si>
  <si>
    <t>CASH TRANSFERS TO PARTNERS</t>
  </si>
  <si>
    <t>Cash Transfers National Societies</t>
  </si>
  <si>
    <t>Cash Transfers to 3rd Parties</t>
  </si>
  <si>
    <t>total checks</t>
  </si>
  <si>
    <t>DIRECT COSTS TOTAL</t>
  </si>
  <si>
    <t>IFRC - BUDGET GROUPS</t>
  </si>
  <si>
    <t>Budget Code</t>
  </si>
  <si>
    <t>Budget Code Name</t>
  </si>
  <si>
    <r>
      <rPr>
        <sz val="8"/>
        <color theme="0"/>
        <rFont val="Open Sans"/>
        <family val="2"/>
      </rPr>
      <t xml:space="preserve">Category used for </t>
    </r>
    <r>
      <rPr>
        <b/>
        <sz val="8"/>
        <color theme="0"/>
        <rFont val="Open Sans"/>
        <family val="2"/>
      </rPr>
      <t>Supplies to Beneficiaries</t>
    </r>
  </si>
  <si>
    <t>Tents, Tarpaulins, Shelter Tool Kits, Iron Sheets etc.</t>
  </si>
  <si>
    <t>Transitional Shelter, material and cash disbursments</t>
  </si>
  <si>
    <t>Construction costs of permanent housing, housing cash disbursments</t>
  </si>
  <si>
    <t>Construction costs for education, health, community, warehouse facilities</t>
  </si>
  <si>
    <t>Other Construction material: Timber, Paint, Hardware</t>
  </si>
  <si>
    <t>Blankets, Sheets, Mattresses, Clothes, Mosquito Nets, Footwear</t>
  </si>
  <si>
    <t>Cereals, Vegetables, High Energy Biscuits, MREs, Food Parcels</t>
  </si>
  <si>
    <t>Seeds, Plants, Fertilizers, Livestock and Animal feed</t>
  </si>
  <si>
    <t>Drinking Water, Water Tanks, Purification, Latrines, WatSan Equipement, Hygiene Parcels, Baby Parcels, Soap</t>
  </si>
  <si>
    <t>Vaccines, Drugs, Medical Equipment, Kits (First Aid, Cholera, PPE)</t>
  </si>
  <si>
    <t>Books, Teaching Materials and Equipment</t>
  </si>
  <si>
    <t>Tools, Drums, Jerrycans, Buckets, Cocking Equipment, Kitchen Sets</t>
  </si>
  <si>
    <t>Heating, Family Kits, Burial Costs and other</t>
  </si>
  <si>
    <t>ERU costs funded by IFRC (as per agreement and ERU NS invoice)</t>
  </si>
  <si>
    <t>All CTP costs (cash, vouchers, 3rd party)</t>
  </si>
  <si>
    <r>
      <t>Procurement of IFRC non capital assests</t>
    </r>
    <r>
      <rPr>
        <sz val="8"/>
        <color theme="0"/>
        <rFont val="Open Sans"/>
        <family val="2"/>
      </rPr>
      <t xml:space="preserve"> or items of capital nature </t>
    </r>
    <r>
      <rPr>
        <b/>
        <sz val="8"/>
        <color theme="0"/>
        <rFont val="Open Sans"/>
        <family val="2"/>
      </rPr>
      <t>not owned by the IFRC</t>
    </r>
    <r>
      <rPr>
        <sz val="8"/>
        <color theme="0"/>
        <rFont val="Open Sans"/>
        <family val="2"/>
      </rPr>
      <t xml:space="preserve"> (NS Assets)</t>
    </r>
  </si>
  <si>
    <t>Budget group used for:</t>
  </si>
  <si>
    <r>
      <rPr>
        <b/>
        <sz val="9"/>
        <color theme="1"/>
        <rFont val="Open Sans"/>
        <family val="2"/>
      </rPr>
      <t>IFRC NON CAPITAL ASSETS</t>
    </r>
    <r>
      <rPr>
        <sz val="9"/>
        <color theme="1"/>
        <rFont val="Open Sans"/>
        <family val="2"/>
      </rPr>
      <t xml:space="preserve"> - equipment with a minimum value of CHF 10,000</t>
    </r>
  </si>
  <si>
    <t>and maximum value of CHF 9,999 per item</t>
  </si>
  <si>
    <r>
      <rPr>
        <b/>
        <sz val="9"/>
        <color theme="1"/>
        <rFont val="Open Sans"/>
        <family val="2"/>
      </rPr>
      <t>ITEMS OF CAPITALE NATURE</t>
    </r>
    <r>
      <rPr>
        <sz val="9"/>
        <color theme="1"/>
        <rFont val="Open Sans"/>
        <family val="2"/>
      </rPr>
      <t xml:space="preserve"> - not owned by the IFRC (above CHF 10,000/item)</t>
    </r>
  </si>
  <si>
    <t>a) immediate donation to the National Society</t>
  </si>
  <si>
    <t>b) over which the IFRC will not be in a position to exercise management control</t>
  </si>
  <si>
    <t>All costs pertaining to Warehousing, Transport, Vehicles and Logistics Services</t>
  </si>
  <si>
    <t>Warhousing, Rubbhalls, Loading/Unloading, Warehousing Equipment, Inspection, Custom Fees, Rental, Warehousing Maintenance</t>
  </si>
  <si>
    <t>Contracted Distribution Services, Shipping Costs, Airfreight, Transport Insurance and Claims, Rail/Road Transport</t>
  </si>
  <si>
    <t>Vehicles Costs (fuel, maintenance, spare parts, insurance) and Vehicle rentals (car, truck, aeroplane/helicopter charter), VRP leasing</t>
  </si>
  <si>
    <t>Logistics Service Fees, Fleet Management Fee, Fleet Service Fee</t>
  </si>
  <si>
    <r>
      <t>Contractual Costs</t>
    </r>
    <r>
      <rPr>
        <sz val="8"/>
        <color theme="0"/>
        <rFont val="Open Sans"/>
        <family val="2"/>
      </rPr>
      <t xml:space="preserve"> (for IFRC and National Staff) and National Society/Volunteer staff costs - </t>
    </r>
    <r>
      <rPr>
        <u/>
        <sz val="8"/>
        <color theme="0"/>
        <rFont val="Open Sans"/>
        <family val="2"/>
      </rPr>
      <t>should not include activity costs such as travel (travel accomodation, perdiem)</t>
    </r>
  </si>
  <si>
    <t>International contracted staff - IFRC or National Society Staff on Loan recruited internationally</t>
  </si>
  <si>
    <t>IFRC Country Office National Staff - contractual costs per country laws</t>
  </si>
  <si>
    <t>National Society staff costs which IFRC has agreed to reimburse as agreed with the National Society</t>
  </si>
  <si>
    <t>Volunteers incentive and other benefits (t-shirts)</t>
  </si>
  <si>
    <r>
      <rPr>
        <sz val="8"/>
        <color theme="0"/>
        <rFont val="Open Sans"/>
        <family val="2"/>
      </rPr>
      <t xml:space="preserve">Contractual arrangement with </t>
    </r>
    <r>
      <rPr>
        <b/>
        <sz val="8"/>
        <color theme="0"/>
        <rFont val="Open Sans"/>
        <family val="2"/>
      </rPr>
      <t>professional expert</t>
    </r>
    <r>
      <rPr>
        <sz val="8"/>
        <color theme="0"/>
        <rFont val="Open Sans"/>
        <family val="2"/>
      </rPr>
      <t xml:space="preserve"> to implement a specific projec or component of a project</t>
    </r>
  </si>
  <si>
    <t>Contractual arrangement with an individual</t>
  </si>
  <si>
    <t>Contractual arrangement with a professional company</t>
  </si>
  <si>
    <t>For all Workshops, Trainings, Statutory Meetings</t>
  </si>
  <si>
    <r>
      <t xml:space="preserve">Cost related to the renting of venue, registration fees, catering services - this </t>
    </r>
    <r>
      <rPr>
        <u/>
        <sz val="9"/>
        <color theme="1"/>
        <rFont val="Open Sans"/>
        <family val="2"/>
      </rPr>
      <t>does not include travel cost of participants which should be budgeted under Travel</t>
    </r>
  </si>
  <si>
    <t>General Expenses</t>
  </si>
  <si>
    <t>All Travel related expenses (regardless of purpose) - tickets, visa, accomodation, perdiem</t>
  </si>
  <si>
    <t>Publising Costs (Writing, Editing, Translations, Printing, Design); PR Activities (Events, Materials, Representation Expenses, Souvenirs); Purchase of publications (Books, Newspapers, Subscriptions)</t>
  </si>
  <si>
    <r>
      <t xml:space="preserve">Office Rent, Stationary, Photocopy, Office Equipment and Maintenance, Cleaning and Insurance </t>
    </r>
    <r>
      <rPr>
        <u/>
        <sz val="9"/>
        <color theme="1"/>
        <rFont val="Open Sans"/>
        <family val="2"/>
      </rPr>
      <t>which are not already included in the country's Shared Office and Services Costs Budget</t>
    </r>
  </si>
  <si>
    <t>Postage, Courier, Phone, Mobile, Internet, Satellite</t>
  </si>
  <si>
    <t>Banking Charges, Foreign Exchange gain/loss provisions, Other Financial fees</t>
  </si>
  <si>
    <t>Sundry Expenses</t>
  </si>
  <si>
    <t>Shared Office and Services Cost allocation as applicable</t>
  </si>
  <si>
    <t>IFRC Assets Depreciation</t>
  </si>
  <si>
    <t>Depreciation costs of IFRC Assets : vehicles, generators, office equipment, software, buildings</t>
  </si>
  <si>
    <r>
      <rPr>
        <sz val="8"/>
        <color theme="0"/>
        <rFont val="Open Sans"/>
        <family val="2"/>
      </rPr>
      <t xml:space="preserve">Contributions or Transers made to </t>
    </r>
    <r>
      <rPr>
        <b/>
        <sz val="8"/>
        <color theme="0"/>
        <rFont val="Open Sans"/>
        <family val="2"/>
      </rPr>
      <t>Partners</t>
    </r>
    <r>
      <rPr>
        <sz val="8"/>
        <color theme="0"/>
        <rFont val="Open Sans"/>
        <family val="2"/>
      </rPr>
      <t xml:space="preserve"> who are implementing part or a component of a project</t>
    </r>
  </si>
  <si>
    <t>Partners are National Societies</t>
  </si>
  <si>
    <t>Partners are any other NGO, UN Agency, ICRC or other</t>
  </si>
  <si>
    <t>Data Summary for WBS</t>
  </si>
  <si>
    <t>don't forget to refresh the pivot table to get most updated data</t>
  </si>
  <si>
    <t>Implemented by</t>
  </si>
  <si>
    <t>Block</t>
  </si>
  <si>
    <t>Output</t>
  </si>
  <si>
    <t>Budget</t>
  </si>
  <si>
    <t>Total CHF</t>
  </si>
  <si>
    <t>(blank)</t>
  </si>
  <si>
    <t>TOTAL DIRECT COSTS</t>
  </si>
  <si>
    <t>V2025.01.2</t>
  </si>
  <si>
    <t>Guidelines</t>
  </si>
  <si>
    <t>The Workbook needs to be saved as a .xlsm (macro-enabled workbook)</t>
  </si>
  <si>
    <t>Purpose</t>
  </si>
  <si>
    <r>
      <t xml:space="preserve">The </t>
    </r>
    <r>
      <rPr>
        <b/>
        <sz val="10"/>
        <color rgb="FF323232"/>
        <rFont val="Open Sans"/>
        <family val="2"/>
      </rPr>
      <t>[DREF budget template]</t>
    </r>
    <r>
      <rPr>
        <sz val="10"/>
        <color theme="1"/>
        <rFont val="Open Sans"/>
        <family val="2"/>
      </rPr>
      <t xml:space="preserve"> is a budget tool designed for National Societies when applying for DREF funding.</t>
    </r>
  </si>
  <si>
    <t>It is structured in accordance with the IFRC's planning matrix to the level of output code; and by resources required to implement the plan as per the IFRC's budget groups.</t>
  </si>
  <si>
    <t>WBS</t>
  </si>
  <si>
    <r>
      <t xml:space="preserve">The </t>
    </r>
    <r>
      <rPr>
        <b/>
        <sz val="10"/>
        <color rgb="FF323232"/>
        <rFont val="Open Sans"/>
        <family val="2"/>
      </rPr>
      <t>[DREF budget template]</t>
    </r>
    <r>
      <rPr>
        <sz val="10"/>
        <color theme="1"/>
        <rFont val="Open Sans"/>
        <family val="2"/>
      </rPr>
      <t xml:space="preserve"> includes a budget summary under the </t>
    </r>
    <r>
      <rPr>
        <b/>
        <sz val="10"/>
        <color theme="4" tint="-0.249977111117893"/>
        <rFont val="Open Sans"/>
        <family val="2"/>
      </rPr>
      <t xml:space="preserve">sheet [WBS] </t>
    </r>
    <r>
      <rPr>
        <sz val="10"/>
        <rFont val="Open Sans"/>
        <family val="2"/>
      </rPr>
      <t>to support the IFR</t>
    </r>
    <r>
      <rPr>
        <sz val="10"/>
        <color theme="1"/>
        <rFont val="Open Sans"/>
        <family val="2"/>
      </rPr>
      <t xml:space="preserve">C DREF Operations Project Manager to generate the WBS in IFRC's D365 system </t>
    </r>
  </si>
  <si>
    <t>Workbook sheets</t>
  </si>
  <si>
    <t>budget_tool</t>
  </si>
  <si>
    <t>This is the main sheet to be completed by the National Society and reviewed by the IFRC DREF Operations Project Manager</t>
  </si>
  <si>
    <t>Header</t>
  </si>
  <si>
    <t>The first part of the [budget_tool] is the header where following information should be provided:</t>
  </si>
  <si>
    <t>Name of the National Society (Coutry) for which the budget is drafted</t>
  </si>
  <si>
    <t>Name of the Operation for which the budget is drafted</t>
  </si>
  <si>
    <t>If available, subsequently added by the IFRC DREF Operations Project Manager</t>
  </si>
  <si>
    <t>Local Currency (LC)</t>
  </si>
  <si>
    <t>Currency in which the budget is drafted</t>
  </si>
  <si>
    <t>Exchange rate to convert the budget into Swiss Francs (CHF) 
recommended rate : Oanda.com per date at which the budget is drafted</t>
  </si>
  <si>
    <t>Date at which the budget is drafted</t>
  </si>
  <si>
    <t>Budget Table</t>
  </si>
  <si>
    <t>The budget table is broken down by ouput code (grouped for reporting purposes)</t>
  </si>
  <si>
    <t>Each Output code has 5 budget lines, more can be added if required.</t>
  </si>
  <si>
    <t>To add a budget line?</t>
  </si>
  <si>
    <t>A new row is added with the output code cell highlighted in red, att the missing output code</t>
  </si>
  <si>
    <t>Note</t>
  </si>
  <si>
    <t>if the output code is not added the total calculations will not include this budget line</t>
  </si>
  <si>
    <t>Budget table headings</t>
  </si>
  <si>
    <t>Each budget line should include the following information per example:</t>
  </si>
  <si>
    <t>Tarpaulins</t>
  </si>
  <si>
    <t>Response</t>
  </si>
  <si>
    <t>pieces</t>
  </si>
  <si>
    <t>Output Code</t>
  </si>
  <si>
    <t>Output code as per the operating plan</t>
  </si>
  <si>
    <t>Description of the budget line, specifically the resource required to implement the plan</t>
  </si>
  <si>
    <r>
      <t xml:space="preserve">Drop Down List should </t>
    </r>
    <r>
      <rPr>
        <b/>
        <i/>
        <u/>
        <sz val="9"/>
        <color rgb="FFF5333F"/>
        <rFont val="Arial"/>
        <family val="2"/>
      </rPr>
      <t>never be overwritten</t>
    </r>
    <r>
      <rPr>
        <b/>
        <i/>
        <sz val="9"/>
        <color rgb="FFF5333F"/>
        <rFont val="Arial"/>
        <family val="2"/>
      </rPr>
      <t xml:space="preserve"> with copy/paste from other excel sheets,
always use the selection</t>
    </r>
  </si>
  <si>
    <r>
      <t xml:space="preserve">Select the block of activities from the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>: Early Actions (IMMINENT DREF), Early Response (IMMINENT DREF) or Response (RESPONSE DREF)</t>
    </r>
  </si>
  <si>
    <r>
      <t xml:space="preserve">Select the party which will incur the costs from the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>: National Society or the IFRC</t>
    </r>
  </si>
  <si>
    <r>
      <t xml:space="preserve">Select the Budget Group from the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. The full list of budget groups can be found under the </t>
    </r>
    <r>
      <rPr>
        <b/>
        <i/>
        <sz val="9"/>
        <color rgb="FF323232"/>
        <rFont val="Arial"/>
        <family val="2"/>
      </rPr>
      <t>[budget_groups]</t>
    </r>
    <r>
      <rPr>
        <i/>
        <sz val="9"/>
        <color theme="1"/>
        <rFont val="Arial"/>
        <family val="2"/>
      </rPr>
      <t xml:space="preserve"> sheet</t>
    </r>
  </si>
  <si>
    <r>
      <t xml:space="preserve">Quantity and Unit Cost </t>
    </r>
    <r>
      <rPr>
        <b/>
        <i/>
        <u/>
        <sz val="9"/>
        <color rgb="FFF5333F"/>
        <rFont val="Arial"/>
        <family val="2"/>
      </rPr>
      <t>must</t>
    </r>
    <r>
      <rPr>
        <b/>
        <i/>
        <sz val="9"/>
        <color rgb="FFF5333F"/>
        <rFont val="Arial"/>
        <family val="2"/>
      </rPr>
      <t xml:space="preserve"> be completed in order to calculate the budget line</t>
    </r>
  </si>
  <si>
    <t>Quantity of the resource needed to implement the plan</t>
  </si>
  <si>
    <t>Unit measure of the resource needed to implement the plan</t>
  </si>
  <si>
    <t>Unit Cost</t>
  </si>
  <si>
    <t>Unit Cost in Local Currency (LC) of the resource needed to implement the plan</t>
  </si>
  <si>
    <t>Calculates the Quantity * Unit Costs in Local Currency (LC)</t>
  </si>
  <si>
    <t>Calculates the Total Cost LC into Swiss Francs (CHF) as per header rate</t>
  </si>
  <si>
    <t>Review and printing</t>
  </si>
  <si>
    <t xml:space="preserve"> To reduce the number of pages for review and/or printing :</t>
  </si>
  <si>
    <t>Option 1</t>
  </si>
  <si>
    <t>Filter for budget lines &amp; respective totals only</t>
  </si>
  <si>
    <t>Option 2</t>
  </si>
  <si>
    <t>Summary by Ouput codes and Areas, or summary by Areas only, using outline selections</t>
  </si>
  <si>
    <t>Select [1]</t>
  </si>
  <si>
    <t>summarises the budget by planned operations</t>
  </si>
  <si>
    <t>Select [2]</t>
  </si>
  <si>
    <t>summarises the budget by planned operations &amp; output codes</t>
  </si>
  <si>
    <t>Select [3]</t>
  </si>
  <si>
    <t>to open up the table with all details</t>
  </si>
  <si>
    <t>Other  workbook sheets</t>
  </si>
  <si>
    <t>DREF for publication</t>
  </si>
  <si>
    <t xml:space="preserve">This sheet is intended for the publication of the DREF Operation as an annex to the narrative. </t>
  </si>
  <si>
    <t>It summarises the budget by planned operations and enabling approaches.</t>
  </si>
  <si>
    <t>Summary by AP Code</t>
  </si>
  <si>
    <t>This sheet is intended for review and information.</t>
  </si>
  <si>
    <t>It summarises the budget at output level, grouped by planned operations and enabling approaches.</t>
  </si>
  <si>
    <t>Resource Budget Summary</t>
  </si>
  <si>
    <t>This sheet is intended for the approval process of the DREF Operation as an annex to the operating plan and request for allocation.</t>
  </si>
  <si>
    <t>It summarises the budget by needed resources per IFRC's budget groups</t>
  </si>
  <si>
    <t>budget_groups</t>
  </si>
  <si>
    <t>The [budget_groups] sheet lists the IFRC Budget groups codes with their name and description as a reference.</t>
  </si>
  <si>
    <t>This sheet summarises the budget by implementing party and ouput to allow the DREF Operations Project Manager an easy reconversion of the data into IFRC's D365 system</t>
  </si>
  <si>
    <t>Updated 19 August 2025</t>
  </si>
  <si>
    <t>DREF202201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</si>
</sst>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 * #,##0.00_ ;_ * \-#,##0.00_ ;_ * &quot;-&quot;??_ ;_ @_ "/>
    <numFmt numFmtId="165" formatCode="dd/mm/yyyy;@"/>
    <numFmt numFmtId="166" formatCode="#,##0.00_ ;\-#,##0.00\ "/>
  </numFmts>
  <fonts count="93" x14ac:knownFonts="1">
    <font>
      <sz val="11"/>
      <color theme="1"/>
      <name val="Calibri"/>
      <family val="2"/>
      <scheme val="minor"/>
    </font>
    <font>
      <b/>
      <sz val="18"/>
      <color rgb="FFF5333F"/>
      <name val="Montserrat"/>
    </font>
    <font>
      <b/>
      <sz val="22"/>
      <color rgb="FFF5333F"/>
      <name val="Montserrat"/>
    </font>
    <font>
      <sz val="10"/>
      <name val="Open Sans"/>
      <family val="2"/>
    </font>
    <font>
      <sz val="11"/>
      <color theme="1"/>
      <name val="Open Sans"/>
      <family val="2"/>
    </font>
    <font>
      <b/>
      <sz val="15"/>
      <color theme="1"/>
      <name val="Open Sans"/>
      <family val="2"/>
    </font>
    <font>
      <sz val="14"/>
      <color theme="0"/>
      <name val="Open Sans"/>
      <family val="2"/>
    </font>
    <font>
      <sz val="11"/>
      <color theme="0"/>
      <name val="Open Sans"/>
      <family val="2"/>
    </font>
    <font>
      <b/>
      <sz val="16"/>
      <color theme="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9"/>
      <color theme="0"/>
      <name val="Open Sans"/>
      <family val="2"/>
    </font>
    <font>
      <sz val="9"/>
      <color theme="0"/>
      <name val="Open Sans"/>
      <family val="2"/>
    </font>
    <font>
      <b/>
      <sz val="9"/>
      <color theme="1"/>
      <name val="Open Sans"/>
      <family val="2"/>
    </font>
    <font>
      <b/>
      <sz val="9"/>
      <color rgb="FFF5333F"/>
      <name val="Open Sans"/>
      <family val="2"/>
    </font>
    <font>
      <sz val="11"/>
      <color rgb="FFF5333F"/>
      <name val="Open Sans"/>
      <family val="2"/>
    </font>
    <font>
      <sz val="9"/>
      <name val="Open Sans"/>
      <family val="2"/>
    </font>
    <font>
      <b/>
      <sz val="18"/>
      <color rgb="FFF5333F"/>
      <name val="Open Sans"/>
      <family val="2"/>
    </font>
    <font>
      <sz val="13"/>
      <color theme="1"/>
      <name val="Open Sans"/>
      <family val="2"/>
    </font>
    <font>
      <b/>
      <sz val="9"/>
      <name val="Open Sans"/>
      <family val="2"/>
    </font>
    <font>
      <b/>
      <sz val="9"/>
      <color rgb="FFE0E0E0"/>
      <name val="Open Sans"/>
      <family val="2"/>
    </font>
    <font>
      <sz val="10"/>
      <color theme="1"/>
      <name val="Open Sans"/>
      <family val="2"/>
    </font>
    <font>
      <sz val="8"/>
      <color theme="0"/>
      <name val="Open Sans"/>
      <family val="2"/>
    </font>
    <font>
      <u/>
      <sz val="8"/>
      <color theme="0"/>
      <name val="Open Sans"/>
      <family val="2"/>
    </font>
    <font>
      <b/>
      <sz val="10"/>
      <color theme="0"/>
      <name val="Open Sans"/>
      <family val="2"/>
    </font>
    <font>
      <u/>
      <sz val="9"/>
      <color theme="1"/>
      <name val="Open Sans"/>
      <family val="2"/>
    </font>
    <font>
      <b/>
      <sz val="14"/>
      <color theme="0"/>
      <name val="Open Sans"/>
      <family val="2"/>
    </font>
    <font>
      <i/>
      <sz val="10"/>
      <color theme="0" tint="-0.34998626667073579"/>
      <name val="Arial"/>
      <family val="2"/>
    </font>
    <font>
      <b/>
      <u/>
      <sz val="11"/>
      <color theme="0" tint="-0.499984740745262"/>
      <name val="Open Sans"/>
      <family val="2"/>
    </font>
    <font>
      <b/>
      <sz val="10"/>
      <color theme="1"/>
      <name val="Open Sans"/>
      <family val="2"/>
    </font>
    <font>
      <b/>
      <sz val="18"/>
      <color rgb="FF323232"/>
      <name val="Montserrat"/>
    </font>
    <font>
      <sz val="10"/>
      <color theme="1"/>
      <name val="Arial"/>
      <family val="2"/>
    </font>
    <font>
      <b/>
      <sz val="14"/>
      <color rgb="FFF5333F"/>
      <name val="Montserrat"/>
    </font>
    <font>
      <u/>
      <sz val="11"/>
      <color theme="10"/>
      <name val="Calibri"/>
      <family val="2"/>
      <scheme val="minor"/>
    </font>
    <font>
      <b/>
      <sz val="12"/>
      <color rgb="FF011E41"/>
      <name val="Open Sans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i/>
      <sz val="9"/>
      <color theme="1"/>
      <name val="Arial"/>
      <family val="2"/>
    </font>
    <font>
      <b/>
      <sz val="8"/>
      <color theme="0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8"/>
      <color rgb="FFE0E0E0"/>
      <name val="Arial Narrow"/>
      <family val="2"/>
    </font>
    <font>
      <b/>
      <sz val="14"/>
      <color theme="1"/>
      <name val="Open Sans"/>
      <family val="2"/>
    </font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b/>
      <sz val="10"/>
      <color rgb="FF323232"/>
      <name val="Open Sans"/>
      <family val="2"/>
    </font>
    <font>
      <b/>
      <i/>
      <sz val="10"/>
      <color rgb="FFF5333F"/>
      <name val="Arial"/>
      <family val="2"/>
    </font>
    <font>
      <b/>
      <i/>
      <u/>
      <sz val="10"/>
      <color rgb="FFF5333F"/>
      <name val="Arial"/>
      <family val="2"/>
    </font>
    <font>
      <i/>
      <u/>
      <sz val="9"/>
      <color theme="1"/>
      <name val="Arial"/>
      <family val="2"/>
    </font>
    <font>
      <b/>
      <i/>
      <sz val="9"/>
      <color rgb="FF323232"/>
      <name val="Arial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Tahoma"/>
      <family val="2"/>
    </font>
    <font>
      <sz val="9"/>
      <name val="Tahoma"/>
      <family val="2"/>
    </font>
    <font>
      <sz val="9"/>
      <color rgb="FFFF0000"/>
      <name val="Tahoma"/>
      <family val="2"/>
    </font>
    <font>
      <sz val="9"/>
      <color theme="0"/>
      <name val="Tahoma"/>
      <family val="2"/>
    </font>
    <font>
      <b/>
      <sz val="13"/>
      <color theme="0"/>
      <name val="Open Sans"/>
      <family val="2"/>
    </font>
    <font>
      <b/>
      <sz val="11"/>
      <color theme="1"/>
      <name val="Open Sans"/>
      <family val="2"/>
    </font>
    <font>
      <b/>
      <sz val="11"/>
      <color rgb="FF323232"/>
      <name val="Open Sans"/>
      <family val="2"/>
    </font>
    <font>
      <sz val="10"/>
      <color theme="0"/>
      <name val="Open Sans"/>
      <family val="2"/>
    </font>
    <font>
      <sz val="11"/>
      <name val="Open Sans"/>
      <family val="2"/>
    </font>
    <font>
      <i/>
      <sz val="9"/>
      <color theme="0" tint="-0.34998626667073579"/>
      <name val="Arial"/>
      <family val="2"/>
    </font>
    <font>
      <b/>
      <sz val="11"/>
      <color theme="0"/>
      <name val="Open Sans"/>
      <family val="2"/>
    </font>
    <font>
      <b/>
      <sz val="13"/>
      <color rgb="FF011E41"/>
      <name val="Open Sans"/>
      <family val="2"/>
    </font>
    <font>
      <b/>
      <sz val="16"/>
      <color rgb="FFF5333F"/>
      <name val="Open Sans"/>
      <family val="2"/>
    </font>
    <font>
      <b/>
      <sz val="7.5"/>
      <color rgb="FFF5333F"/>
      <name val="Open Sans"/>
      <family val="2"/>
    </font>
    <font>
      <sz val="14"/>
      <color rgb="FF011E41"/>
      <name val="Open Sans"/>
      <family val="2"/>
    </font>
    <font>
      <sz val="14"/>
      <name val="Open Sans"/>
      <family val="2"/>
    </font>
    <font>
      <sz val="9"/>
      <color theme="0" tint="-0.499984740745262"/>
      <name val="Open Sans"/>
      <family val="2"/>
    </font>
    <font>
      <b/>
      <sz val="9"/>
      <color rgb="FF0000CC"/>
      <name val="Open Sans"/>
      <family val="2"/>
    </font>
    <font>
      <i/>
      <sz val="8"/>
      <color theme="1"/>
      <name val="Open Sans"/>
      <family val="2"/>
    </font>
    <font>
      <b/>
      <sz val="10"/>
      <color theme="4" tint="-0.249977111117893"/>
      <name val="Open Sans"/>
      <family val="2"/>
    </font>
    <font>
      <b/>
      <sz val="7"/>
      <color theme="0"/>
      <name val="Open Sans"/>
      <family val="2"/>
    </font>
    <font>
      <sz val="7"/>
      <color theme="1"/>
      <name val="Open Sans"/>
      <family val="2"/>
    </font>
    <font>
      <b/>
      <i/>
      <sz val="9"/>
      <color rgb="FFF5333F"/>
      <name val="Arial"/>
      <family val="2"/>
    </font>
    <font>
      <b/>
      <i/>
      <u/>
      <sz val="9"/>
      <color rgb="FFF5333F"/>
      <name val="Arial"/>
      <family val="2"/>
    </font>
    <font>
      <i/>
      <sz val="9"/>
      <color theme="5" tint="0.249977111117893"/>
      <name val="Arial"/>
      <family val="2"/>
    </font>
    <font>
      <b/>
      <sz val="12"/>
      <color theme="0"/>
      <name val="Open Sans"/>
      <family val="2"/>
    </font>
    <font>
      <sz val="14"/>
      <name val="Arial"/>
      <family val="2"/>
    </font>
    <font>
      <sz val="9"/>
      <color theme="0" tint="-0.14999847407452621"/>
      <name val="Open Sans"/>
      <family val="2"/>
    </font>
    <font>
      <sz val="12"/>
      <color theme="1"/>
      <name val="Open Sans"/>
      <family val="2"/>
    </font>
    <font>
      <sz val="12"/>
      <name val="Open Sans"/>
      <family val="2"/>
    </font>
    <font>
      <sz val="12"/>
      <color theme="0" tint="-0.14999847407452621"/>
      <name val="Open Sans"/>
      <family val="2"/>
    </font>
    <font>
      <u/>
      <sz val="9"/>
      <color theme="0" tint="-0.249977111117893"/>
      <name val="Open Sans"/>
      <family val="2"/>
    </font>
    <font>
      <b/>
      <sz val="9"/>
      <color theme="0" tint="-0.249977111117893"/>
      <name val="Open Sans"/>
      <family val="2"/>
    </font>
    <font>
      <sz val="9"/>
      <color theme="0" tint="-0.249977111117893"/>
      <name val="Open Sans"/>
      <family val="2"/>
    </font>
    <font>
      <sz val="9"/>
      <color rgb="FFBFBFBF"/>
      <name val="Open Sans"/>
      <family val="2"/>
    </font>
    <font>
      <b/>
      <sz val="9"/>
      <color rgb="FFBFBFBF"/>
      <name val="Open Sans"/>
      <family val="2"/>
    </font>
    <font>
      <b/>
      <u/>
      <sz val="9"/>
      <color rgb="FFBFBFBF"/>
      <name val="Open Sans"/>
      <family val="2"/>
    </font>
    <font>
      <b/>
      <sz val="9"/>
      <color rgb="FF0070C0"/>
      <name val="Tahoma"/>
      <family val="2"/>
    </font>
    <font>
      <sz val="8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5333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011E4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>
        <fgColor rgb="FFFCCCCF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lightUp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F5333F"/>
      </left>
      <right/>
      <top style="thin">
        <color rgb="FFF5333F"/>
      </top>
      <bottom style="thin">
        <color rgb="FFF5333F"/>
      </bottom>
      <diagonal/>
    </border>
    <border>
      <left/>
      <right/>
      <top style="thin">
        <color rgb="FFF5333F"/>
      </top>
      <bottom style="thin">
        <color rgb="FFF5333F"/>
      </bottom>
      <diagonal/>
    </border>
    <border>
      <left/>
      <right style="thin">
        <color rgb="FFF5333F"/>
      </right>
      <top style="thin">
        <color rgb="FFF5333F"/>
      </top>
      <bottom style="thin">
        <color rgb="FFF5333F"/>
      </bottom>
      <diagonal/>
    </border>
    <border>
      <left style="thin">
        <color rgb="FFF5333F"/>
      </left>
      <right/>
      <top/>
      <bottom/>
      <diagonal/>
    </border>
    <border>
      <left style="thin">
        <color rgb="FFF5333F"/>
      </left>
      <right/>
      <top/>
      <bottom style="thin">
        <color rgb="FFF5333F"/>
      </bottom>
      <diagonal/>
    </border>
    <border>
      <left/>
      <right/>
      <top/>
      <bottom style="thin">
        <color rgb="FFF5333F"/>
      </bottom>
      <diagonal/>
    </border>
    <border>
      <left/>
      <right/>
      <top/>
      <bottom style="thin">
        <color rgb="FF011E41"/>
      </bottom>
      <diagonal/>
    </border>
    <border>
      <left/>
      <right/>
      <top style="thin">
        <color rgb="FF011E41"/>
      </top>
      <bottom style="thin">
        <color rgb="FFF5333F"/>
      </bottom>
      <diagonal/>
    </border>
    <border>
      <left style="thin">
        <color rgb="FFF5333F"/>
      </left>
      <right/>
      <top style="thin">
        <color rgb="FFF5333F"/>
      </top>
      <bottom/>
      <diagonal/>
    </border>
    <border>
      <left/>
      <right/>
      <top style="thin">
        <color rgb="FFF5333F"/>
      </top>
      <bottom/>
      <diagonal/>
    </border>
    <border>
      <left style="thin">
        <color rgb="FFF5333F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medium">
        <color rgb="FF323232"/>
      </bottom>
      <diagonal/>
    </border>
    <border>
      <left/>
      <right/>
      <top/>
      <bottom style="thin">
        <color theme="2" tint="-0.24994659260841701"/>
      </bottom>
      <diagonal/>
    </border>
    <border>
      <left style="thick">
        <color rgb="FFF5333F"/>
      </left>
      <right/>
      <top style="thick">
        <color rgb="FFF5333F"/>
      </top>
      <bottom/>
      <diagonal/>
    </border>
    <border>
      <left/>
      <right/>
      <top style="thick">
        <color rgb="FFF5333F"/>
      </top>
      <bottom/>
      <diagonal/>
    </border>
    <border>
      <left/>
      <right style="thick">
        <color rgb="FFF5333F"/>
      </right>
      <top style="thick">
        <color rgb="FFF5333F"/>
      </top>
      <bottom/>
      <diagonal/>
    </border>
    <border>
      <left style="thick">
        <color theme="0"/>
      </left>
      <right/>
      <top/>
      <bottom/>
      <diagonal/>
    </border>
    <border>
      <left style="mediumDashed">
        <color rgb="FFF5333F"/>
      </left>
      <right/>
      <top/>
      <bottom/>
      <diagonal/>
    </border>
    <border>
      <left/>
      <right style="mediumDashed">
        <color rgb="FFF5333F"/>
      </right>
      <top/>
      <bottom/>
      <diagonal/>
    </border>
    <border>
      <left style="mediumDashed">
        <color rgb="FFF5333F"/>
      </left>
      <right/>
      <top/>
      <bottom style="mediumDashed">
        <color rgb="FFF5333F"/>
      </bottom>
      <diagonal/>
    </border>
    <border>
      <left/>
      <right/>
      <top/>
      <bottom style="mediumDashed">
        <color rgb="FFF5333F"/>
      </bottom>
      <diagonal/>
    </border>
    <border>
      <left/>
      <right style="mediumDashed">
        <color rgb="FFF5333F"/>
      </right>
      <top/>
      <bottom style="mediumDashed">
        <color rgb="FFF5333F"/>
      </bottom>
      <diagonal/>
    </border>
    <border>
      <left style="mediumDashed">
        <color rgb="FFF5333F"/>
      </left>
      <right/>
      <top style="mediumDashed">
        <color rgb="FFF5333F"/>
      </top>
      <bottom/>
      <diagonal/>
    </border>
    <border>
      <left/>
      <right/>
      <top style="mediumDashed">
        <color rgb="FFF5333F"/>
      </top>
      <bottom/>
      <diagonal/>
    </border>
    <border>
      <left/>
      <right style="mediumDashed">
        <color rgb="FFF5333F"/>
      </right>
      <top style="mediumDashed">
        <color rgb="FFF5333F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n">
        <color rgb="FFF5333F"/>
      </right>
      <top/>
      <bottom/>
      <diagonal/>
    </border>
    <border>
      <left/>
      <right style="thin">
        <color rgb="FFF5333F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mediumDashed">
        <color theme="0"/>
      </right>
      <top style="mediumDashed">
        <color rgb="FFF5333F"/>
      </top>
      <bottom/>
      <diagonal/>
    </border>
    <border>
      <left/>
      <right style="mediumDashed">
        <color theme="0"/>
      </right>
      <top style="thin">
        <color rgb="FFF5333F"/>
      </top>
      <bottom/>
      <diagonal/>
    </border>
    <border>
      <left style="mediumDashed">
        <color theme="0"/>
      </left>
      <right/>
      <top style="mediumDashed">
        <color rgb="FFF5333F"/>
      </top>
      <bottom/>
      <diagonal/>
    </border>
    <border>
      <left style="mediumDashed">
        <color theme="4"/>
      </left>
      <right/>
      <top/>
      <bottom/>
      <diagonal/>
    </border>
    <border>
      <left/>
      <right style="mediumDashed">
        <color theme="4"/>
      </right>
      <top/>
      <bottom/>
      <diagonal/>
    </border>
  </borders>
  <cellStyleXfs count="3">
    <xf numFmtId="0" fontId="0" fillId="0" borderId="0"/>
    <xf numFmtId="0" fontId="35" fillId="0" borderId="0" applyNumberFormat="0" applyFill="0" applyBorder="0" applyAlignment="0" applyProtection="0"/>
    <xf numFmtId="164" fontId="45" fillId="0" borderId="0" applyFont="0" applyFill="0" applyBorder="0" applyAlignment="0" applyProtection="0"/>
  </cellStyleXfs>
  <cellXfs count="246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/>
    </xf>
    <xf numFmtId="0" fontId="10" fillId="0" borderId="0" xfId="0" applyFont="1"/>
    <xf numFmtId="0" fontId="16" fillId="0" borderId="0" xfId="0" applyFont="1"/>
    <xf numFmtId="0" fontId="18" fillId="0" borderId="0" xfId="0" applyFont="1" applyAlignment="1" applyProtection="1">
      <alignment vertical="center"/>
      <protection locked="0"/>
    </xf>
    <xf numFmtId="4" fontId="18" fillId="0" borderId="0" xfId="0" applyNumberFormat="1" applyFont="1" applyAlignment="1" applyProtection="1">
      <alignment vertical="center"/>
      <protection locked="0"/>
    </xf>
    <xf numFmtId="0" fontId="23" fillId="0" borderId="0" xfId="0" applyFont="1"/>
    <xf numFmtId="0" fontId="11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 wrapText="1"/>
    </xf>
    <xf numFmtId="0" fontId="11" fillId="5" borderId="0" xfId="0" applyFont="1" applyFill="1" applyAlignment="1">
      <alignment vertical="center" wrapText="1"/>
    </xf>
    <xf numFmtId="0" fontId="23" fillId="0" borderId="0" xfId="0" applyFont="1" applyAlignment="1">
      <alignment wrapText="1"/>
    </xf>
    <xf numFmtId="0" fontId="19" fillId="0" borderId="0" xfId="0" applyFont="1" applyAlignment="1">
      <alignment horizontal="right"/>
    </xf>
    <xf numFmtId="0" fontId="3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" fillId="0" borderId="0" xfId="0" applyFont="1"/>
    <xf numFmtId="0" fontId="14" fillId="0" borderId="0" xfId="0" applyFont="1" applyAlignment="1">
      <alignment horizontal="right"/>
    </xf>
    <xf numFmtId="0" fontId="19" fillId="0" borderId="0" xfId="0" applyFont="1"/>
    <xf numFmtId="0" fontId="9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0" fontId="14" fillId="3" borderId="2" xfId="0" applyFont="1" applyFill="1" applyBorder="1" applyAlignment="1">
      <alignment vertical="center"/>
    </xf>
    <xf numFmtId="0" fontId="13" fillId="3" borderId="3" xfId="0" applyFont="1" applyFill="1" applyBorder="1" applyAlignment="1">
      <alignment vertical="center"/>
    </xf>
    <xf numFmtId="0" fontId="14" fillId="3" borderId="3" xfId="0" applyFont="1" applyFill="1" applyBorder="1" applyAlignment="1">
      <alignment vertical="center"/>
    </xf>
    <xf numFmtId="4" fontId="13" fillId="3" borderId="3" xfId="0" applyNumberFormat="1" applyFont="1" applyFill="1" applyBorder="1" applyAlignment="1">
      <alignment vertical="center"/>
    </xf>
    <xf numFmtId="4" fontId="13" fillId="3" borderId="4" xfId="0" applyNumberFormat="1" applyFont="1" applyFill="1" applyBorder="1" applyAlignment="1">
      <alignment vertical="center"/>
    </xf>
    <xf numFmtId="0" fontId="18" fillId="0" borderId="0" xfId="0" applyFont="1" applyProtection="1">
      <protection locked="0"/>
    </xf>
    <xf numFmtId="0" fontId="18" fillId="7" borderId="0" xfId="0" applyFont="1" applyFill="1" applyAlignment="1">
      <alignment vertical="center"/>
    </xf>
    <xf numFmtId="0" fontId="21" fillId="7" borderId="0" xfId="0" applyFont="1" applyFill="1" applyAlignment="1">
      <alignment vertical="center"/>
    </xf>
    <xf numFmtId="0" fontId="18" fillId="7" borderId="2" xfId="0" applyFont="1" applyFill="1" applyBorder="1" applyAlignment="1">
      <alignment vertical="center"/>
    </xf>
    <xf numFmtId="0" fontId="21" fillId="7" borderId="3" xfId="0" applyFont="1" applyFill="1" applyBorder="1" applyAlignment="1">
      <alignment vertical="center"/>
    </xf>
    <xf numFmtId="0" fontId="18" fillId="7" borderId="3" xfId="0" applyFont="1" applyFill="1" applyBorder="1" applyAlignment="1">
      <alignment vertical="center"/>
    </xf>
    <xf numFmtId="4" fontId="21" fillId="7" borderId="3" xfId="0" applyNumberFormat="1" applyFont="1" applyFill="1" applyBorder="1" applyAlignment="1">
      <alignment vertical="center"/>
    </xf>
    <xf numFmtId="4" fontId="21" fillId="7" borderId="4" xfId="0" applyNumberFormat="1" applyFont="1" applyFill="1" applyBorder="1" applyAlignment="1">
      <alignment vertical="center"/>
    </xf>
    <xf numFmtId="0" fontId="32" fillId="0" borderId="13" xfId="0" applyFont="1" applyBorder="1" applyAlignment="1">
      <alignment vertical="center"/>
    </xf>
    <xf numFmtId="0" fontId="18" fillId="0" borderId="13" xfId="0" applyFont="1" applyBorder="1"/>
    <xf numFmtId="0" fontId="34" fillId="0" borderId="0" xfId="0" applyFont="1"/>
    <xf numFmtId="0" fontId="33" fillId="0" borderId="0" xfId="0" applyFont="1" applyAlignment="1">
      <alignment horizontal="left" vertical="top" wrapText="1"/>
    </xf>
    <xf numFmtId="0" fontId="35" fillId="0" borderId="0" xfId="1" applyAlignment="1">
      <alignment horizontal="left" vertical="top" wrapText="1"/>
    </xf>
    <xf numFmtId="0" fontId="23" fillId="0" borderId="0" xfId="0" applyFont="1" applyAlignment="1">
      <alignment horizontal="left" vertical="top" wrapText="1"/>
    </xf>
    <xf numFmtId="0" fontId="36" fillId="0" borderId="0" xfId="0" applyFont="1"/>
    <xf numFmtId="0" fontId="37" fillId="0" borderId="0" xfId="0" applyFont="1"/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 wrapText="1"/>
    </xf>
    <xf numFmtId="0" fontId="38" fillId="0" borderId="0" xfId="0" applyFont="1"/>
    <xf numFmtId="0" fontId="40" fillId="3" borderId="10" xfId="0" applyFont="1" applyFill="1" applyBorder="1" applyAlignment="1">
      <alignment horizontal="center" vertical="center" wrapText="1"/>
    </xf>
    <xf numFmtId="0" fontId="40" fillId="3" borderId="11" xfId="0" applyFont="1" applyFill="1" applyBorder="1" applyAlignment="1">
      <alignment horizontal="center" vertical="center" wrapText="1"/>
    </xf>
    <xf numFmtId="0" fontId="41" fillId="0" borderId="5" xfId="0" applyFont="1" applyBorder="1"/>
    <xf numFmtId="0" fontId="41" fillId="0" borderId="0" xfId="0" applyFont="1"/>
    <xf numFmtId="4" fontId="41" fillId="0" borderId="0" xfId="0" applyNumberFormat="1" applyFont="1"/>
    <xf numFmtId="0" fontId="41" fillId="6" borderId="5" xfId="0" applyFont="1" applyFill="1" applyBorder="1"/>
    <xf numFmtId="0" fontId="41" fillId="6" borderId="0" xfId="0" applyFont="1" applyFill="1"/>
    <xf numFmtId="4" fontId="41" fillId="6" borderId="0" xfId="0" applyNumberFormat="1" applyFont="1" applyFill="1"/>
    <xf numFmtId="0" fontId="42" fillId="4" borderId="12" xfId="0" applyFont="1" applyFill="1" applyBorder="1"/>
    <xf numFmtId="0" fontId="42" fillId="4" borderId="1" xfId="0" applyFont="1" applyFill="1" applyBorder="1"/>
    <xf numFmtId="0" fontId="43" fillId="4" borderId="1" xfId="0" applyFont="1" applyFill="1" applyBorder="1"/>
    <xf numFmtId="4" fontId="42" fillId="4" borderId="1" xfId="0" applyNumberFormat="1" applyFont="1" applyFill="1" applyBorder="1" applyAlignment="1">
      <alignment wrapText="1"/>
    </xf>
    <xf numFmtId="0" fontId="38" fillId="2" borderId="0" xfId="0" applyFont="1" applyFill="1" applyAlignment="1">
      <alignment vertical="center"/>
    </xf>
    <xf numFmtId="0" fontId="39" fillId="2" borderId="0" xfId="0" applyFont="1" applyFill="1" applyAlignment="1">
      <alignment vertical="center"/>
    </xf>
    <xf numFmtId="0" fontId="39" fillId="2" borderId="0" xfId="0" applyFont="1" applyFill="1"/>
    <xf numFmtId="0" fontId="37" fillId="0" borderId="7" xfId="0" applyFont="1" applyBorder="1"/>
    <xf numFmtId="0" fontId="17" fillId="0" borderId="0" xfId="0" applyFont="1" applyAlignment="1">
      <alignment vertical="center"/>
    </xf>
    <xf numFmtId="0" fontId="31" fillId="0" borderId="0" xfId="0" applyFont="1"/>
    <xf numFmtId="0" fontId="28" fillId="3" borderId="7" xfId="0" applyFont="1" applyFill="1" applyBorder="1"/>
    <xf numFmtId="0" fontId="46" fillId="3" borderId="7" xfId="0" applyFont="1" applyFill="1" applyBorder="1"/>
    <xf numFmtId="0" fontId="48" fillId="0" borderId="0" xfId="0" applyFont="1" applyAlignment="1">
      <alignment vertical="center"/>
    </xf>
    <xf numFmtId="0" fontId="49" fillId="0" borderId="0" xfId="0" applyFont="1" applyAlignment="1">
      <alignment horizontal="right" vertical="center"/>
    </xf>
    <xf numFmtId="0" fontId="9" fillId="0" borderId="0" xfId="0" applyFont="1"/>
    <xf numFmtId="164" fontId="9" fillId="0" borderId="0" xfId="2" applyFont="1"/>
    <xf numFmtId="0" fontId="31" fillId="0" borderId="0" xfId="0" applyFont="1" applyAlignment="1">
      <alignment horizontal="right"/>
    </xf>
    <xf numFmtId="0" fontId="44" fillId="0" borderId="0" xfId="0" applyFont="1"/>
    <xf numFmtId="0" fontId="37" fillId="0" borderId="14" xfId="0" applyFont="1" applyBorder="1"/>
    <xf numFmtId="0" fontId="46" fillId="8" borderId="14" xfId="0" applyFont="1" applyFill="1" applyBorder="1"/>
    <xf numFmtId="0" fontId="52" fillId="0" borderId="13" xfId="0" applyFont="1" applyBorder="1" applyAlignment="1">
      <alignment vertical="center"/>
    </xf>
    <xf numFmtId="0" fontId="53" fillId="0" borderId="13" xfId="0" applyFont="1" applyBorder="1" applyAlignment="1">
      <alignment vertical="center"/>
    </xf>
    <xf numFmtId="4" fontId="18" fillId="7" borderId="0" xfId="0" applyNumberFormat="1" applyFont="1" applyFill="1" applyAlignment="1">
      <alignment vertical="center"/>
    </xf>
    <xf numFmtId="4" fontId="18" fillId="7" borderId="3" xfId="0" applyNumberFormat="1" applyFont="1" applyFill="1" applyBorder="1" applyAlignment="1">
      <alignment vertical="center"/>
    </xf>
    <xf numFmtId="4" fontId="14" fillId="3" borderId="3" xfId="0" applyNumberFormat="1" applyFont="1" applyFill="1" applyBorder="1" applyAlignment="1">
      <alignment vertical="center"/>
    </xf>
    <xf numFmtId="0" fontId="37" fillId="9" borderId="14" xfId="0" applyFont="1" applyFill="1" applyBorder="1"/>
    <xf numFmtId="0" fontId="54" fillId="0" borderId="0" xfId="0" applyFont="1"/>
    <xf numFmtId="0" fontId="54" fillId="0" borderId="0" xfId="0" applyFont="1" applyAlignment="1">
      <alignment horizontal="center"/>
    </xf>
    <xf numFmtId="0" fontId="7" fillId="0" borderId="0" xfId="0" applyFont="1"/>
    <xf numFmtId="0" fontId="55" fillId="0" borderId="0" xfId="0" applyFont="1"/>
    <xf numFmtId="0" fontId="56" fillId="0" borderId="0" xfId="0" applyFont="1" applyAlignment="1">
      <alignment horizontal="right"/>
    </xf>
    <xf numFmtId="0" fontId="57" fillId="0" borderId="0" xfId="0" applyFont="1" applyAlignment="1">
      <alignment horizontal="right"/>
    </xf>
    <xf numFmtId="0" fontId="21" fillId="4" borderId="1" xfId="0" applyFont="1" applyFill="1" applyBorder="1" applyAlignment="1">
      <alignment vertical="center"/>
    </xf>
    <xf numFmtId="4" fontId="22" fillId="4" borderId="1" xfId="0" applyNumberFormat="1" applyFont="1" applyFill="1" applyBorder="1" applyAlignment="1">
      <alignment vertical="center"/>
    </xf>
    <xf numFmtId="4" fontId="21" fillId="4" borderId="1" xfId="0" applyNumberFormat="1" applyFont="1" applyFill="1" applyBorder="1" applyAlignment="1">
      <alignment vertical="center" wrapText="1"/>
    </xf>
    <xf numFmtId="0" fontId="13" fillId="5" borderId="0" xfId="0" applyFont="1" applyFill="1" applyAlignment="1">
      <alignment vertical="center"/>
    </xf>
    <xf numFmtId="4" fontId="13" fillId="5" borderId="0" xfId="0" applyNumberFormat="1" applyFont="1" applyFill="1" applyAlignment="1">
      <alignment vertical="center"/>
    </xf>
    <xf numFmtId="4" fontId="21" fillId="4" borderId="1" xfId="0" applyNumberFormat="1" applyFont="1" applyFill="1" applyBorder="1" applyAlignment="1">
      <alignment vertical="center"/>
    </xf>
    <xf numFmtId="4" fontId="21" fillId="5" borderId="0" xfId="0" applyNumberFormat="1" applyFont="1" applyFill="1" applyAlignment="1">
      <alignment vertical="center"/>
    </xf>
    <xf numFmtId="4" fontId="18" fillId="3" borderId="3" xfId="0" applyNumberFormat="1" applyFont="1" applyFill="1" applyBorder="1" applyAlignment="1">
      <alignment vertical="center"/>
    </xf>
    <xf numFmtId="0" fontId="11" fillId="5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26" fillId="5" borderId="0" xfId="0" applyFont="1" applyFill="1" applyAlignment="1">
      <alignment horizontal="left" vertical="center"/>
    </xf>
    <xf numFmtId="3" fontId="26" fillId="5" borderId="0" xfId="0" applyNumberFormat="1" applyFont="1" applyFill="1" applyAlignment="1">
      <alignment horizontal="right" vertical="center" wrapText="1"/>
    </xf>
    <xf numFmtId="0" fontId="9" fillId="7" borderId="5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3" fontId="23" fillId="7" borderId="0" xfId="0" applyNumberFormat="1" applyFont="1" applyFill="1" applyAlignment="1">
      <alignment horizontal="right" vertical="center"/>
    </xf>
    <xf numFmtId="0" fontId="9" fillId="0" borderId="5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3" fontId="23" fillId="0" borderId="0" xfId="0" applyNumberFormat="1" applyFont="1" applyAlignment="1">
      <alignment horizontal="right" vertical="center"/>
    </xf>
    <xf numFmtId="0" fontId="9" fillId="7" borderId="0" xfId="0" applyFont="1" applyFill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vertical="center"/>
    </xf>
    <xf numFmtId="3" fontId="23" fillId="7" borderId="8" xfId="0" applyNumberFormat="1" applyFont="1" applyFill="1" applyBorder="1" applyAlignment="1">
      <alignment horizontal="right" vertical="center"/>
    </xf>
    <xf numFmtId="0" fontId="12" fillId="7" borderId="9" xfId="0" applyFont="1" applyFill="1" applyBorder="1" applyAlignment="1">
      <alignment vertical="center"/>
    </xf>
    <xf numFmtId="0" fontId="31" fillId="7" borderId="9" xfId="0" applyFont="1" applyFill="1" applyBorder="1" applyAlignment="1">
      <alignment vertical="center"/>
    </xf>
    <xf numFmtId="3" fontId="31" fillId="7" borderId="9" xfId="0" applyNumberFormat="1" applyFont="1" applyFill="1" applyBorder="1" applyAlignment="1">
      <alignment horizontal="right" vertical="center"/>
    </xf>
    <xf numFmtId="0" fontId="9" fillId="7" borderId="6" xfId="0" applyFont="1" applyFill="1" applyBorder="1" applyAlignment="1">
      <alignment horizontal="center" vertical="center"/>
    </xf>
    <xf numFmtId="0" fontId="31" fillId="7" borderId="7" xfId="0" applyFont="1" applyFill="1" applyBorder="1" applyAlignment="1">
      <alignment vertical="center"/>
    </xf>
    <xf numFmtId="3" fontId="31" fillId="7" borderId="7" xfId="0" applyNumberFormat="1" applyFont="1" applyFill="1" applyBorder="1" applyAlignment="1">
      <alignment horizontal="right" vertical="center"/>
    </xf>
    <xf numFmtId="0" fontId="4" fillId="3" borderId="0" xfId="0" applyFont="1" applyFill="1"/>
    <xf numFmtId="0" fontId="26" fillId="3" borderId="3" xfId="0" applyFont="1" applyFill="1" applyBorder="1" applyAlignment="1">
      <alignment vertical="center"/>
    </xf>
    <xf numFmtId="3" fontId="26" fillId="3" borderId="0" xfId="0" applyNumberFormat="1" applyFont="1" applyFill="1"/>
    <xf numFmtId="0" fontId="30" fillId="0" borderId="0" xfId="0" applyFont="1"/>
    <xf numFmtId="0" fontId="28" fillId="5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  <xf numFmtId="3" fontId="6" fillId="5" borderId="0" xfId="0" applyNumberFormat="1" applyFont="1" applyFill="1" applyAlignment="1">
      <alignment vertical="center"/>
    </xf>
    <xf numFmtId="3" fontId="28" fillId="5" borderId="0" xfId="0" applyNumberFormat="1" applyFont="1" applyFill="1" applyAlignment="1">
      <alignment vertical="center"/>
    </xf>
    <xf numFmtId="0" fontId="7" fillId="0" borderId="0" xfId="0" applyFont="1" applyAlignment="1">
      <alignment vertical="center"/>
    </xf>
    <xf numFmtId="3" fontId="7" fillId="0" borderId="0" xfId="0" applyNumberFormat="1" applyFont="1" applyAlignment="1">
      <alignment vertical="center"/>
    </xf>
    <xf numFmtId="0" fontId="8" fillId="3" borderId="0" xfId="0" applyFont="1" applyFill="1"/>
    <xf numFmtId="3" fontId="8" fillId="3" borderId="0" xfId="0" applyNumberFormat="1" applyFont="1" applyFill="1"/>
    <xf numFmtId="0" fontId="29" fillId="0" borderId="0" xfId="0" applyFont="1"/>
    <xf numFmtId="0" fontId="31" fillId="0" borderId="0" xfId="0" applyFont="1" applyAlignment="1">
      <alignment horizontal="center"/>
    </xf>
    <xf numFmtId="0" fontId="58" fillId="5" borderId="0" xfId="0" applyFont="1" applyFill="1" applyAlignment="1">
      <alignment vertical="center"/>
    </xf>
    <xf numFmtId="3" fontId="58" fillId="5" borderId="0" xfId="0" applyNumberFormat="1" applyFont="1" applyFill="1" applyAlignment="1">
      <alignment horizontal="right" vertical="center"/>
    </xf>
    <xf numFmtId="0" fontId="20" fillId="0" borderId="0" xfId="0" applyFont="1" applyAlignment="1">
      <alignment vertical="center"/>
    </xf>
    <xf numFmtId="0" fontId="60" fillId="0" borderId="8" xfId="0" applyFont="1" applyBorder="1" applyAlignment="1">
      <alignment vertical="center"/>
    </xf>
    <xf numFmtId="3" fontId="60" fillId="0" borderId="8" xfId="0" applyNumberFormat="1" applyFont="1" applyBorder="1" applyAlignment="1">
      <alignment horizontal="right" vertical="center"/>
    </xf>
    <xf numFmtId="0" fontId="61" fillId="0" borderId="0" xfId="0" applyFont="1" applyAlignment="1">
      <alignment vertical="center"/>
    </xf>
    <xf numFmtId="0" fontId="59" fillId="0" borderId="8" xfId="0" applyFont="1" applyBorder="1" applyAlignment="1">
      <alignment vertical="center"/>
    </xf>
    <xf numFmtId="0" fontId="8" fillId="3" borderId="0" xfId="0" applyFont="1" applyFill="1" applyAlignment="1">
      <alignment vertical="center"/>
    </xf>
    <xf numFmtId="3" fontId="8" fillId="3" borderId="0" xfId="0" applyNumberFormat="1" applyFont="1" applyFill="1" applyAlignment="1">
      <alignment horizontal="right" vertical="center"/>
    </xf>
    <xf numFmtId="0" fontId="63" fillId="0" borderId="0" xfId="0" applyFont="1" applyAlignment="1">
      <alignment vertical="center"/>
    </xf>
    <xf numFmtId="0" fontId="23" fillId="0" borderId="0" xfId="0" applyFont="1" applyAlignment="1">
      <alignment vertical="top"/>
    </xf>
    <xf numFmtId="3" fontId="62" fillId="0" borderId="0" xfId="0" applyNumberFormat="1" applyFont="1" applyAlignment="1">
      <alignment vertical="center"/>
    </xf>
    <xf numFmtId="0" fontId="62" fillId="0" borderId="0" xfId="0" applyFont="1"/>
    <xf numFmtId="3" fontId="64" fillId="0" borderId="8" xfId="0" applyNumberFormat="1" applyFont="1" applyBorder="1" applyAlignment="1">
      <alignment horizontal="right" vertical="center"/>
    </xf>
    <xf numFmtId="3" fontId="61" fillId="0" borderId="0" xfId="0" applyNumberFormat="1" applyFont="1" applyAlignment="1">
      <alignment vertical="center"/>
    </xf>
    <xf numFmtId="3" fontId="65" fillId="5" borderId="0" xfId="0" applyNumberFormat="1" applyFont="1" applyFill="1" applyAlignment="1">
      <alignment horizontal="right" vertical="center"/>
    </xf>
    <xf numFmtId="3" fontId="66" fillId="3" borderId="0" xfId="0" applyNumberFormat="1" applyFont="1" applyFill="1" applyAlignment="1">
      <alignment horizontal="right" vertical="center"/>
    </xf>
    <xf numFmtId="0" fontId="15" fillId="0" borderId="0" xfId="0" applyFont="1" applyAlignment="1">
      <alignment horizontal="center"/>
    </xf>
    <xf numFmtId="0" fontId="46" fillId="5" borderId="7" xfId="0" applyFont="1" applyFill="1" applyBorder="1"/>
    <xf numFmtId="0" fontId="37" fillId="5" borderId="7" xfId="0" applyFont="1" applyFill="1" applyBorder="1"/>
    <xf numFmtId="0" fontId="10" fillId="10" borderId="0" xfId="0" applyFont="1" applyFill="1" applyAlignment="1" applyProtection="1">
      <alignment horizontal="center" vertical="center"/>
      <protection locked="0"/>
    </xf>
    <xf numFmtId="0" fontId="13" fillId="0" borderId="18" xfId="0" applyFont="1" applyBorder="1" applyAlignment="1">
      <alignment horizontal="center" vertical="center" wrapText="1"/>
    </xf>
    <xf numFmtId="0" fontId="38" fillId="2" borderId="19" xfId="0" applyFont="1" applyFill="1" applyBorder="1" applyAlignment="1">
      <alignment vertical="center"/>
    </xf>
    <xf numFmtId="0" fontId="38" fillId="2" borderId="21" xfId="0" applyFont="1" applyFill="1" applyBorder="1" applyAlignment="1">
      <alignment vertical="center"/>
    </xf>
    <xf numFmtId="0" fontId="68" fillId="6" borderId="28" xfId="0" applyFont="1" applyFill="1" applyBorder="1" applyAlignment="1" applyProtection="1">
      <alignment horizontal="center" vertical="center"/>
      <protection locked="0"/>
    </xf>
    <xf numFmtId="0" fontId="68" fillId="6" borderId="28" xfId="0" applyFont="1" applyFill="1" applyBorder="1" applyProtection="1">
      <protection locked="0"/>
    </xf>
    <xf numFmtId="165" fontId="68" fillId="6" borderId="18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/>
    <xf numFmtId="0" fontId="9" fillId="0" borderId="0" xfId="0" applyFont="1" applyAlignment="1">
      <alignment horizontal="left"/>
    </xf>
    <xf numFmtId="0" fontId="10" fillId="10" borderId="0" xfId="0" applyFont="1" applyFill="1" applyAlignment="1" applyProtection="1">
      <alignment horizontal="center"/>
      <protection locked="0"/>
    </xf>
    <xf numFmtId="0" fontId="21" fillId="4" borderId="1" xfId="0" applyFont="1" applyFill="1" applyBorder="1"/>
    <xf numFmtId="0" fontId="13" fillId="5" borderId="0" xfId="0" applyFont="1" applyFill="1"/>
    <xf numFmtId="0" fontId="18" fillId="7" borderId="0" xfId="0" applyFont="1" applyFill="1"/>
    <xf numFmtId="0" fontId="18" fillId="7" borderId="3" xfId="0" applyFont="1" applyFill="1" applyBorder="1"/>
    <xf numFmtId="0" fontId="14" fillId="3" borderId="3" xfId="0" applyFont="1" applyFill="1" applyBorder="1"/>
    <xf numFmtId="0" fontId="21" fillId="4" borderId="1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8" fillId="10" borderId="0" xfId="0" applyFont="1" applyFill="1" applyAlignment="1" applyProtection="1">
      <alignment horizontal="center" vertical="center"/>
      <protection locked="0"/>
    </xf>
    <xf numFmtId="3" fontId="23" fillId="7" borderId="8" xfId="0" applyNumberFormat="1" applyFont="1" applyFill="1" applyBorder="1" applyAlignment="1">
      <alignment vertical="center"/>
    </xf>
    <xf numFmtId="3" fontId="23" fillId="0" borderId="0" xfId="0" applyNumberFormat="1" applyFont="1"/>
    <xf numFmtId="166" fontId="70" fillId="0" borderId="0" xfId="2" applyNumberFormat="1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5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5" fillId="0" borderId="0" xfId="0" applyFont="1" applyAlignment="1">
      <alignment horizontal="right"/>
    </xf>
    <xf numFmtId="0" fontId="54" fillId="0" borderId="0" xfId="0" applyFont="1" applyAlignment="1">
      <alignment horizontal="right"/>
    </xf>
    <xf numFmtId="4" fontId="0" fillId="0" borderId="0" xfId="0" applyNumberFormat="1"/>
    <xf numFmtId="0" fontId="13" fillId="0" borderId="29" xfId="0" applyFont="1" applyBorder="1" applyAlignment="1">
      <alignment horizontal="center" vertical="center" wrapText="1"/>
    </xf>
    <xf numFmtId="4" fontId="18" fillId="0" borderId="29" xfId="0" applyNumberFormat="1" applyFont="1" applyBorder="1" applyAlignment="1" applyProtection="1">
      <alignment vertical="center"/>
      <protection locked="0"/>
    </xf>
    <xf numFmtId="4" fontId="21" fillId="4" borderId="30" xfId="0" applyNumberFormat="1" applyFont="1" applyFill="1" applyBorder="1" applyAlignment="1">
      <alignment vertical="center" wrapText="1"/>
    </xf>
    <xf numFmtId="4" fontId="13" fillId="5" borderId="29" xfId="0" applyNumberFormat="1" applyFont="1" applyFill="1" applyBorder="1" applyAlignment="1">
      <alignment vertical="center" wrapText="1"/>
    </xf>
    <xf numFmtId="4" fontId="21" fillId="7" borderId="29" xfId="0" applyNumberFormat="1" applyFont="1" applyFill="1" applyBorder="1" applyAlignment="1">
      <alignment vertical="center"/>
    </xf>
    <xf numFmtId="0" fontId="18" fillId="0" borderId="0" xfId="0" applyFont="1" applyAlignment="1" applyProtection="1">
      <alignment vertical="center" wrapText="1"/>
      <protection locked="0"/>
    </xf>
    <xf numFmtId="0" fontId="74" fillId="3" borderId="10" xfId="0" applyFont="1" applyFill="1" applyBorder="1" applyAlignment="1">
      <alignment horizontal="center" vertical="center" wrapText="1"/>
    </xf>
    <xf numFmtId="0" fontId="74" fillId="3" borderId="11" xfId="0" applyFont="1" applyFill="1" applyBorder="1" applyAlignment="1">
      <alignment horizontal="center" vertical="center" wrapText="1"/>
    </xf>
    <xf numFmtId="0" fontId="75" fillId="0" borderId="0" xfId="0" applyFont="1"/>
    <xf numFmtId="0" fontId="76" fillId="0" borderId="0" xfId="0" applyFont="1" applyAlignment="1">
      <alignment vertical="center"/>
    </xf>
    <xf numFmtId="0" fontId="74" fillId="3" borderId="25" xfId="0" applyFont="1" applyFill="1" applyBorder="1" applyAlignment="1">
      <alignment horizontal="center" vertical="center" wrapText="1"/>
    </xf>
    <xf numFmtId="0" fontId="74" fillId="3" borderId="31" xfId="0" applyFont="1" applyFill="1" applyBorder="1" applyAlignment="1">
      <alignment horizontal="center" vertical="center" wrapText="1"/>
    </xf>
    <xf numFmtId="0" fontId="74" fillId="3" borderId="32" xfId="0" applyFont="1" applyFill="1" applyBorder="1" applyAlignment="1">
      <alignment horizontal="center" vertical="center" wrapText="1"/>
    </xf>
    <xf numFmtId="0" fontId="74" fillId="3" borderId="33" xfId="0" applyFont="1" applyFill="1" applyBorder="1" applyAlignment="1">
      <alignment horizontal="center" vertical="center" wrapText="1"/>
    </xf>
    <xf numFmtId="0" fontId="78" fillId="2" borderId="0" xfId="0" applyFont="1" applyFill="1" applyAlignment="1">
      <alignment vertical="center"/>
    </xf>
    <xf numFmtId="0" fontId="78" fillId="2" borderId="0" xfId="0" applyFont="1" applyFill="1"/>
    <xf numFmtId="0" fontId="79" fillId="3" borderId="7" xfId="0" applyFont="1" applyFill="1" applyBorder="1"/>
    <xf numFmtId="0" fontId="79" fillId="12" borderId="7" xfId="0" applyFont="1" applyFill="1" applyBorder="1"/>
    <xf numFmtId="0" fontId="80" fillId="8" borderId="14" xfId="0" applyFont="1" applyFill="1" applyBorder="1"/>
    <xf numFmtId="0" fontId="0" fillId="0" borderId="0" xfId="0" pivotButton="1"/>
    <xf numFmtId="4" fontId="13" fillId="5" borderId="0" xfId="0" applyNumberFormat="1" applyFont="1" applyFill="1" applyAlignment="1">
      <alignment vertical="center" wrapText="1"/>
    </xf>
    <xf numFmtId="4" fontId="21" fillId="7" borderId="0" xfId="0" applyNumberFormat="1" applyFont="1" applyFill="1" applyAlignment="1">
      <alignment vertical="center"/>
    </xf>
    <xf numFmtId="4" fontId="81" fillId="0" borderId="0" xfId="0" applyNumberFormat="1" applyFont="1"/>
    <xf numFmtId="0" fontId="82" fillId="0" borderId="0" xfId="0" applyFont="1"/>
    <xf numFmtId="164" fontId="83" fillId="0" borderId="0" xfId="2" applyFont="1"/>
    <xf numFmtId="4" fontId="84" fillId="0" borderId="0" xfId="0" applyNumberFormat="1" applyFont="1"/>
    <xf numFmtId="0" fontId="85" fillId="0" borderId="0" xfId="0" applyFont="1"/>
    <xf numFmtId="3" fontId="86" fillId="0" borderId="0" xfId="0" applyNumberFormat="1" applyFont="1"/>
    <xf numFmtId="3" fontId="87" fillId="0" borderId="0" xfId="0" applyNumberFormat="1" applyFont="1"/>
    <xf numFmtId="4" fontId="88" fillId="0" borderId="0" xfId="0" applyNumberFormat="1" applyFont="1"/>
    <xf numFmtId="4" fontId="89" fillId="5" borderId="0" xfId="0" applyNumberFormat="1" applyFont="1" applyFill="1" applyAlignment="1">
      <alignment horizontal="right" vertical="center"/>
    </xf>
    <xf numFmtId="4" fontId="89" fillId="0" borderId="8" xfId="0" applyNumberFormat="1" applyFont="1" applyBorder="1" applyAlignment="1">
      <alignment horizontal="right" vertical="center"/>
    </xf>
    <xf numFmtId="4" fontId="88" fillId="0" borderId="0" xfId="0" applyNumberFormat="1" applyFont="1" applyAlignment="1">
      <alignment horizontal="right" vertical="center"/>
    </xf>
    <xf numFmtId="4" fontId="89" fillId="3" borderId="0" xfId="0" applyNumberFormat="1" applyFont="1" applyFill="1" applyAlignment="1">
      <alignment horizontal="right" vertical="center"/>
    </xf>
    <xf numFmtId="0" fontId="82" fillId="0" borderId="0" xfId="0" applyFont="1" applyAlignment="1">
      <alignment horizontal="left"/>
    </xf>
    <xf numFmtId="4" fontId="89" fillId="0" borderId="0" xfId="0" applyNumberFormat="1" applyFont="1" applyAlignment="1">
      <alignment vertical="center"/>
    </xf>
    <xf numFmtId="4" fontId="88" fillId="0" borderId="0" xfId="0" applyNumberFormat="1" applyFont="1" applyAlignment="1">
      <alignment vertical="center"/>
    </xf>
    <xf numFmtId="4" fontId="90" fillId="0" borderId="0" xfId="0" applyNumberFormat="1" applyFont="1"/>
    <xf numFmtId="4" fontId="89" fillId="0" borderId="0" xfId="0" applyNumberFormat="1" applyFont="1"/>
    <xf numFmtId="0" fontId="89" fillId="0" borderId="0" xfId="0" applyFont="1" applyAlignment="1">
      <alignment vertical="center"/>
    </xf>
    <xf numFmtId="0" fontId="89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92" fillId="13" borderId="34" xfId="0" applyFont="1" applyFill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9" fillId="13" borderId="35" xfId="0" applyFont="1" applyFill="1" applyBorder="1" applyAlignment="1">
      <alignment horizontal="center" vertical="center"/>
    </xf>
    <xf numFmtId="3" fontId="3" fillId="0" borderId="0" xfId="0" applyNumberFormat="1" applyFont="1" applyAlignment="1">
      <alignment vertical="center"/>
    </xf>
    <xf numFmtId="0" fontId="56" fillId="0" borderId="0" xfId="0" applyFont="1" applyAlignment="1">
      <alignment horizontal="right"/>
    </xf>
    <xf numFmtId="0" fontId="23" fillId="0" borderId="0" xfId="0" applyFont="1" applyAlignment="1">
      <alignment horizontal="left" vertical="top" wrapText="1"/>
    </xf>
    <xf numFmtId="0" fontId="39" fillId="2" borderId="0" xfId="0" applyFont="1" applyFill="1" applyAlignment="1">
      <alignment horizontal="left" vertical="center" wrapText="1"/>
    </xf>
    <xf numFmtId="0" fontId="39" fillId="2" borderId="22" xfId="0" applyFont="1" applyFill="1" applyBorder="1" applyAlignment="1">
      <alignment horizontal="left" vertical="center" wrapText="1"/>
    </xf>
    <xf numFmtId="0" fontId="39" fillId="2" borderId="23" xfId="0" applyFont="1" applyFill="1" applyBorder="1" applyAlignment="1">
      <alignment horizontal="left" vertical="center" wrapText="1"/>
    </xf>
    <xf numFmtId="0" fontId="31" fillId="0" borderId="0" xfId="0" applyFont="1" applyAlignment="1">
      <alignment horizontal="left" vertical="top" wrapText="1"/>
    </xf>
    <xf numFmtId="0" fontId="76" fillId="0" borderId="24" xfId="0" applyFont="1" applyBorder="1" applyAlignment="1">
      <alignment horizontal="left" vertical="top" wrapText="1"/>
    </xf>
    <xf numFmtId="0" fontId="76" fillId="0" borderId="25" xfId="0" applyFont="1" applyBorder="1" applyAlignment="1">
      <alignment horizontal="left" vertical="top" wrapText="1"/>
    </xf>
    <xf numFmtId="0" fontId="76" fillId="0" borderId="26" xfId="0" applyFont="1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39" fillId="2" borderId="20" xfId="0" applyFont="1" applyFill="1" applyBorder="1" applyAlignment="1">
      <alignment horizontal="left" vertical="center" wrapText="1"/>
    </xf>
    <xf numFmtId="0" fontId="67" fillId="0" borderId="15" xfId="0" applyFont="1" applyBorder="1" applyAlignment="1">
      <alignment horizontal="center" wrapText="1"/>
    </xf>
    <xf numFmtId="0" fontId="67" fillId="0" borderId="16" xfId="0" applyFont="1" applyBorder="1" applyAlignment="1">
      <alignment horizontal="center" wrapText="1"/>
    </xf>
    <xf numFmtId="0" fontId="67" fillId="0" borderId="17" xfId="0" applyFont="1" applyBorder="1" applyAlignment="1">
      <alignment horizontal="center" wrapText="1"/>
    </xf>
    <xf numFmtId="0" fontId="68" fillId="6" borderId="27" xfId="0" applyFont="1" applyFill="1" applyBorder="1" applyAlignment="1" applyProtection="1">
      <alignment horizontal="center" vertical="center"/>
      <protection locked="0"/>
    </xf>
    <xf numFmtId="0" fontId="68" fillId="6" borderId="28" xfId="0" applyFont="1" applyFill="1" applyBorder="1" applyAlignment="1" applyProtection="1">
      <alignment horizontal="center" vertical="center"/>
      <protection locked="0"/>
    </xf>
    <xf numFmtId="0" fontId="91" fillId="11" borderId="0" xfId="0" applyFont="1" applyFill="1" applyAlignment="1" applyProtection="1">
      <alignment horizontal="center" vertical="center"/>
      <protection hidden="1"/>
    </xf>
  </cellXfs>
  <cellStyles count="3">
    <cellStyle name="Comma" xfId="2" builtinId="3"/>
    <cellStyle name="Hyperlink" xfId="1" builtinId="8"/>
    <cellStyle name="Normal" xfId="0" builtinId="0"/>
  </cellStyles>
  <dxfs count="68">
    <dxf>
      <alignment wrapText="1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wrapText="1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color rgb="FFF5333F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5333F"/>
      </font>
    </dxf>
    <dxf>
      <font>
        <b/>
        <i val="0"/>
        <color rgb="FFF5333F"/>
      </font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rgb="FFF5333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rgb="FFF5333F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0" formatCode="General"/>
      <fill>
        <patternFill patternType="lightUp">
          <fgColor rgb="FFFCCCCF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5F5F5"/>
        </patternFill>
      </fill>
    </dxf>
    <dxf>
      <font>
        <color theme="0"/>
      </font>
      <fill>
        <patternFill>
          <bgColor rgb="FFF5333F"/>
        </patternFill>
      </fill>
    </dxf>
    <dxf>
      <fill>
        <patternFill patternType="none">
          <bgColor auto="1"/>
        </patternFill>
      </fill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  <dxf>
      <font>
        <b/>
        <i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11E41"/>
        </patternFill>
      </fill>
    </dxf>
    <dxf>
      <font>
        <b/>
        <i val="0"/>
        <color theme="0"/>
      </font>
      <fill>
        <patternFill>
          <bgColor rgb="FFF5333F"/>
        </patternFill>
      </fill>
    </dxf>
    <dxf>
      <font>
        <b/>
        <i val="0"/>
        <color theme="0"/>
      </font>
      <fill>
        <patternFill>
          <bgColor rgb="FFF5333F"/>
        </patternFill>
      </fill>
    </dxf>
    <dxf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  <dxf>
      <fill>
        <patternFill>
          <bgColor theme="0" tint="-4.9989318521683403E-2"/>
        </patternFill>
      </fill>
    </dxf>
    <dxf>
      <font>
        <strike val="0"/>
        <color theme="0"/>
      </font>
      <fill>
        <patternFill>
          <bgColor rgb="FF786964"/>
        </patternFill>
      </fill>
    </dxf>
  </dxfs>
  <tableStyles count="3" defaultTableStyle="TableStyleMedium2" defaultPivotStyle="PivotStyleLight16">
    <tableStyle name="EPOA " pivot="0" count="2" xr9:uid="{D15AD850-E01B-4954-BC55-B0CAEED8634A}">
      <tableStyleElement type="headerRow" dxfId="67"/>
      <tableStyleElement type="firstRowStripe" dxfId="66"/>
    </tableStyle>
    <tableStyle name="PivotTable Style new" table="0" count="6" xr9:uid="{431564DF-CC26-497C-AB67-7289950954DD}">
      <tableStyleElement type="wholeTable" dxfId="65"/>
      <tableStyleElement type="headerRow" dxfId="64"/>
      <tableStyleElement type="totalRow" dxfId="63"/>
      <tableStyleElement type="firstRowSubheading" dxfId="62"/>
      <tableStyleElement type="secondRowSubheading" dxfId="61"/>
      <tableStyleElement type="thirdRowSubheading" dxfId="60"/>
    </tableStyle>
    <tableStyle name="Table Style 1" pivot="0" count="3" xr9:uid="{8ECAC567-3EF8-4A04-AFB5-F2A88F5734D5}">
      <tableStyleElement type="wholeTable" dxfId="59"/>
      <tableStyleElement type="headerRow" dxfId="58"/>
      <tableStyleElement type="firstRowStripe" dxfId="57"/>
    </tableStyle>
  </tableStyles>
  <colors>
    <mruColors>
      <color rgb="FFBFBFBF"/>
      <color rgb="FFE0E0E0"/>
      <color rgb="FF011E41"/>
      <color rgb="FF0000CC"/>
      <color rgb="FFF5333F"/>
      <color rgb="FFFCCCCF"/>
      <color rgb="FF323232"/>
      <color rgb="FF7B7B7B"/>
      <color rgb="FF786964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1</xdr:col>
      <xdr:colOff>521100</xdr:colOff>
      <xdr:row>3</xdr:row>
      <xdr:rowOff>161187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24F979B6-CCC4-4E4C-BBF1-9A0BA0793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8575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357270</xdr:colOff>
      <xdr:row>3</xdr:row>
      <xdr:rowOff>140232</xdr:rowOff>
    </xdr:to>
    <xdr:pic>
      <xdr:nvPicPr>
        <xdr:cNvPr id="3" name="Picture 2" descr="Logo&#10;&#10;Description automatically generated">
          <a:extLst>
            <a:ext uri="{FF2B5EF4-FFF2-40B4-BE49-F238E27FC236}">
              <a16:creationId xmlns:a16="http://schemas.microsoft.com/office/drawing/2014/main" id="{D129F95D-DE7E-4367-9C3A-F019E746A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0"/>
          <a:ext cx="875430" cy="810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883050</xdr:colOff>
      <xdr:row>3</xdr:row>
      <xdr:rowOff>170712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B71D9B66-103D-4779-B173-4C3AD03800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864000" cy="8882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</xdr:col>
      <xdr:colOff>349650</xdr:colOff>
      <xdr:row>1</xdr:row>
      <xdr:rowOff>389787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9CD1F671-D39C-4A8D-9D68-E9DD5DA12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30</xdr:row>
      <xdr:rowOff>123825</xdr:rowOff>
    </xdr:from>
    <xdr:to>
      <xdr:col>6</xdr:col>
      <xdr:colOff>259715</xdr:colOff>
      <xdr:row>33</xdr:row>
      <xdr:rowOff>105410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CD3EFF47-8A67-498A-905B-8B702F45DCC5}"/>
            </a:ext>
          </a:extLst>
        </xdr:cNvPr>
        <xdr:cNvSpPr/>
      </xdr:nvSpPr>
      <xdr:spPr>
        <a:xfrm>
          <a:off x="771525" y="8963025"/>
          <a:ext cx="4326890" cy="524510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>
              <a:solidFill>
                <a:srgbClr val="FF0000"/>
              </a:solidFill>
            </a:rPr>
            <a:t>Select row above</a:t>
          </a:r>
          <a:r>
            <a:rPr lang="en-GB" sz="1100" u="sng" baseline="0">
              <a:solidFill>
                <a:srgbClr val="FF0000"/>
              </a:solidFill>
            </a:rPr>
            <a:t> output code total</a:t>
          </a:r>
          <a:r>
            <a:rPr lang="en-GB" sz="1100" baseline="0">
              <a:solidFill>
                <a:srgbClr val="FF0000"/>
              </a:solidFill>
            </a:rPr>
            <a:t>, right click and insert row</a:t>
          </a: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>
    <xdr:from>
      <xdr:col>1</xdr:col>
      <xdr:colOff>66675</xdr:colOff>
      <xdr:row>38</xdr:row>
      <xdr:rowOff>0</xdr:rowOff>
    </xdr:from>
    <xdr:to>
      <xdr:col>6</xdr:col>
      <xdr:colOff>259715</xdr:colOff>
      <xdr:row>40</xdr:row>
      <xdr:rowOff>157904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F3EEEEF7-968B-4D66-947C-E473E05EF51D}"/>
            </a:ext>
          </a:extLst>
        </xdr:cNvPr>
        <xdr:cNvSpPr/>
      </xdr:nvSpPr>
      <xdr:spPr>
        <a:xfrm>
          <a:off x="771525" y="10496550"/>
          <a:ext cx="4326890" cy="519854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 baseline="0">
              <a:solidFill>
                <a:srgbClr val="FF0000"/>
              </a:solidFill>
            </a:rPr>
            <a:t>Add the output code (example here AP005)</a:t>
          </a:r>
          <a:endParaRPr lang="en-GB" sz="1100" baseline="0">
            <a:solidFill>
              <a:srgbClr val="FF0000"/>
            </a:solidFill>
          </a:endParaRP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 editAs="oneCell">
    <xdr:from>
      <xdr:col>0</xdr:col>
      <xdr:colOff>495300</xdr:colOff>
      <xdr:row>67</xdr:row>
      <xdr:rowOff>76199</xdr:rowOff>
    </xdr:from>
    <xdr:to>
      <xdr:col>2</xdr:col>
      <xdr:colOff>646891</xdr:colOff>
      <xdr:row>81</xdr:row>
      <xdr:rowOff>171450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CCB5CA-C6AB-4E0A-986B-DA65B8AEE3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95300" y="14830424"/>
          <a:ext cx="1723216" cy="3028951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67</xdr:row>
      <xdr:rowOff>47625</xdr:rowOff>
    </xdr:from>
    <xdr:to>
      <xdr:col>6</xdr:col>
      <xdr:colOff>142875</xdr:colOff>
      <xdr:row>69</xdr:row>
      <xdr:rowOff>151341</xdr:rowOff>
    </xdr:to>
    <xdr:sp macro="" textlink="">
      <xdr:nvSpPr>
        <xdr:cNvPr id="6" name="Callout: Left Arrow 5">
          <a:extLst>
            <a:ext uri="{FF2B5EF4-FFF2-40B4-BE49-F238E27FC236}">
              <a16:creationId xmlns:a16="http://schemas.microsoft.com/office/drawing/2014/main" id="{872FEABF-B38A-4A93-928D-98CA5E391347}"/>
            </a:ext>
          </a:extLst>
        </xdr:cNvPr>
        <xdr:cNvSpPr/>
      </xdr:nvSpPr>
      <xdr:spPr>
        <a:xfrm>
          <a:off x="2305050" y="15011400"/>
          <a:ext cx="2333625" cy="522816"/>
        </a:xfrm>
        <a:prstGeom prst="leftArrowCallout">
          <a:avLst>
            <a:gd name="adj1" fmla="val 25000"/>
            <a:gd name="adj2" fmla="val 25000"/>
            <a:gd name="adj3" fmla="val 25000"/>
            <a:gd name="adj4" fmla="val 86403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Go to the Table Title "Total Cost CHF", select the filter arrow</a:t>
          </a:r>
        </a:p>
      </xdr:txBody>
    </xdr:sp>
    <xdr:clientData/>
  </xdr:twoCellAnchor>
  <xdr:twoCellAnchor editAs="oneCell">
    <xdr:from>
      <xdr:col>4</xdr:col>
      <xdr:colOff>285750</xdr:colOff>
      <xdr:row>78</xdr:row>
      <xdr:rowOff>28575</xdr:rowOff>
    </xdr:from>
    <xdr:to>
      <xdr:col>7</xdr:col>
      <xdr:colOff>962025</xdr:colOff>
      <xdr:row>86</xdr:row>
      <xdr:rowOff>133350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11D1483-17D6-41F7-A2A3-B71D3F409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3434"/>
        <a:stretch/>
      </xdr:blipFill>
      <xdr:spPr>
        <a:xfrm>
          <a:off x="3552825" y="17087850"/>
          <a:ext cx="2581275" cy="1781175"/>
        </a:xfrm>
        <a:prstGeom prst="rect">
          <a:avLst/>
        </a:prstGeom>
      </xdr:spPr>
    </xdr:pic>
    <xdr:clientData/>
  </xdr:twoCellAnchor>
  <xdr:twoCellAnchor>
    <xdr:from>
      <xdr:col>5</xdr:col>
      <xdr:colOff>314325</xdr:colOff>
      <xdr:row>77</xdr:row>
      <xdr:rowOff>180975</xdr:rowOff>
    </xdr:from>
    <xdr:to>
      <xdr:col>7</xdr:col>
      <xdr:colOff>381000</xdr:colOff>
      <xdr:row>79</xdr:row>
      <xdr:rowOff>200025</xdr:rowOff>
    </xdr:to>
    <xdr:sp macro="" textlink="">
      <xdr:nvSpPr>
        <xdr:cNvPr id="9" name="Callout: Left Arrow 8">
          <a:extLst>
            <a:ext uri="{FF2B5EF4-FFF2-40B4-BE49-F238E27FC236}">
              <a16:creationId xmlns:a16="http://schemas.microsoft.com/office/drawing/2014/main" id="{C2C00DAF-63BF-410C-BDEC-4E53C32D944A}"/>
            </a:ext>
          </a:extLst>
        </xdr:cNvPr>
        <xdr:cNvSpPr/>
      </xdr:nvSpPr>
      <xdr:spPr>
        <a:xfrm>
          <a:off x="4086225" y="17030700"/>
          <a:ext cx="1438275" cy="438150"/>
        </a:xfrm>
        <a:prstGeom prst="leftArrowCallout">
          <a:avLst>
            <a:gd name="adj1" fmla="val 25000"/>
            <a:gd name="adj2" fmla="val 25000"/>
            <a:gd name="adj3" fmla="val 25000"/>
            <a:gd name="adj4" fmla="val 83206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Using the Outline Selection Panel</a:t>
          </a:r>
        </a:p>
      </xdr:txBody>
    </xdr:sp>
    <xdr:clientData/>
  </xdr:twoCellAnchor>
  <xdr:twoCellAnchor>
    <xdr:from>
      <xdr:col>1</xdr:col>
      <xdr:colOff>742950</xdr:colOff>
      <xdr:row>75</xdr:row>
      <xdr:rowOff>200026</xdr:rowOff>
    </xdr:from>
    <xdr:to>
      <xdr:col>3</xdr:col>
      <xdr:colOff>200025</xdr:colOff>
      <xdr:row>77</xdr:row>
      <xdr:rowOff>161926</xdr:rowOff>
    </xdr:to>
    <xdr:sp macro="" textlink="">
      <xdr:nvSpPr>
        <xdr:cNvPr id="11" name="Callout: Left Arrow 10">
          <a:extLst>
            <a:ext uri="{FF2B5EF4-FFF2-40B4-BE49-F238E27FC236}">
              <a16:creationId xmlns:a16="http://schemas.microsoft.com/office/drawing/2014/main" id="{063AD8F0-0DA2-4102-A393-F0D40DC27EE1}"/>
            </a:ext>
          </a:extLst>
        </xdr:cNvPr>
        <xdr:cNvSpPr/>
      </xdr:nvSpPr>
      <xdr:spPr>
        <a:xfrm>
          <a:off x="1304925" y="16840201"/>
          <a:ext cx="1333500" cy="381000"/>
        </a:xfrm>
        <a:prstGeom prst="leftArrowCallout">
          <a:avLst>
            <a:gd name="adj1" fmla="val 18157"/>
            <a:gd name="adj2" fmla="val 40000"/>
            <a:gd name="adj3" fmla="val 21296"/>
            <a:gd name="adj4" fmla="val 76325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De-Select</a:t>
          </a:r>
          <a:r>
            <a:rPr lang="en-GB" sz="1100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 0.00</a:t>
          </a:r>
          <a:endParaRPr lang="en-GB" sz="1100" u="none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atilde Lencastre Godinho" refreshedDate="46296.576347916664" backgroundQuery="1" createdVersion="8" refreshedVersion="8" minRefreshableVersion="3" recordCount="0" supportSubquery="1" supportAdvancedDrill="1" xr:uid="{2DBA3CAF-07F5-4CE1-8BBD-32343FC9666B}">
  <cacheSource type="external" connectionId="1"/>
  <cacheFields count="6">
    <cacheField name="[BUDGET].[Implemented by [select]]].[Implemented by [select]]]" caption="Implemented by [select]" numFmtId="0" hierarchy="3" level="1">
      <sharedItems containsNonDate="0" containsString="0" containsBlank="1" count="1">
        <m/>
      </sharedItems>
    </cacheField>
    <cacheField name="[BUDGET].[Block [select]]].[Block [select]]]" caption="Block [select]" numFmtId="0" hierarchy="2" level="1">
      <sharedItems count="1">
        <s v="Response"/>
      </sharedItems>
    </cacheField>
    <cacheField name="[BUDGET].[Output Code].[Output Code]" caption="Output Code" numFmtId="0" level="1">
      <sharedItems count="46">
        <s v="AP113"/>
        <s v="AP005" u="1"/>
        <s v="AP007" u="1"/>
        <s v="AP049" u="1"/>
        <s v="AP081" u="1"/>
        <s v="AP101" u="1"/>
        <s v="AP102" u="1"/>
        <s v="AP103" u="1"/>
        <s v="AP104" u="1"/>
        <s v="AP105" u="1"/>
        <s v="AP106" u="1"/>
        <s v="AP107" u="1"/>
        <s v="AP108" u="1"/>
        <s v="AP109" u="1"/>
        <s v="AP110" u="1"/>
        <s v="AP111" u="1"/>
        <s v="AP112" u="1"/>
        <s v="AP114" u="1"/>
        <s v="AP115" u="1"/>
        <s v="AP116" u="1"/>
        <s v="AP117" u="1"/>
        <s v="AP118" u="1"/>
        <s v="AP119" u="1"/>
        <s v="AP120" u="1"/>
        <s v="AP121" u="1"/>
        <s v="AP122" u="1"/>
        <s v="AP124" u="1"/>
        <s v="AP125" u="1"/>
        <s v="AP126" u="1"/>
        <s v="AP127" u="1"/>
        <s v="AP128" u="1"/>
        <s v="AP129" u="1"/>
        <s v="EA01" u="1"/>
        <s v="EA02" u="1"/>
        <s v="EA03" u="1"/>
        <s v="PO01" u="1"/>
        <s v="PO02" u="1"/>
        <s v="PO03" u="1"/>
        <s v="PO04" u="1"/>
        <s v="PO05" u="1"/>
        <s v="PO06" u="1"/>
        <s v="PO07" u="1"/>
        <s v="PO08" u="1"/>
        <s v="PO09" u="1"/>
        <s v="PO10" u="1"/>
        <s v="PO11" u="1"/>
      </sharedItems>
    </cacheField>
    <cacheField name="[BUDGET].[Budget Group].[Budget Group]" caption="Budget Group" numFmtId="0" hierarchy="4" level="1">
      <sharedItems containsSemiMixedTypes="0" containsString="0" containsNumber="1" containsInteger="1" minValue="831" maxValue="831" count="1">
        <n v="831"/>
      </sharedItems>
      <extLst>
        <ext xmlns:x15="http://schemas.microsoft.com/office/spreadsheetml/2010/11/main" uri="{4F2E5C28-24EA-4eb8-9CBF-B6C8F9C3D259}">
          <x15:cachedUniqueNames>
            <x15:cachedUniqueName index="0" name="[BUDGET].[Budget Group].&amp;[831]"/>
          </x15:cachedUniqueNames>
        </ext>
      </extLst>
    </cacheField>
    <cacheField name="[BUDGET].[Description].[Description]" caption="Description" numFmtId="0" hierarchy="1" level="1">
      <sharedItems count="1">
        <s v="TENTS"/>
      </sharedItems>
    </cacheField>
    <cacheField name="[Measures].[Sum of Total Cost CHF]" caption="Sum of Total Cost CHF" numFmtId="0" hierarchy="14" level="32767"/>
  </cacheFields>
  <cacheHierarchies count="15">
    <cacheHierarchy uniqueName="[BUDGET].[Output Code]" caption="Output Code" attribute="1" defaultMemberUniqueName="[BUDGET].[Output Code].[All]" allUniqueName="[BUDGET].[Output Code].[All]" dimensionUniqueName="[BUDGET]" displayFolder="" count="2" memberValueDatatype="130" unbalanced="0">
      <fieldsUsage count="2">
        <fieldUsage x="-1"/>
        <fieldUsage x="2"/>
      </fieldsUsage>
    </cacheHierarchy>
    <cacheHierarchy uniqueName="[BUDGET].[Description]" caption="Description" attribute="1" defaultMemberUniqueName="[BUDGET].[Description].[All]" allUniqueName="[BUDGET].[Description].[All]" dimensionUniqueName="[BUDGET]" displayFolder="" count="2" memberValueDatatype="130" unbalanced="0">
      <fieldsUsage count="2">
        <fieldUsage x="-1"/>
        <fieldUsage x="4"/>
      </fieldsUsage>
    </cacheHierarchy>
    <cacheHierarchy uniqueName="[BUDGET].[Block [select]]]" caption="Block [select]" attribute="1" defaultMemberUniqueName="[BUDGET].[Block [select]]].[All]" allUniqueName="[BUDGET].[Block [select]]].[All]" dimensionUniqueName="[BUDGET]" displayFolder="" count="2" memberValueDatatype="130" unbalanced="0">
      <fieldsUsage count="2">
        <fieldUsage x="-1"/>
        <fieldUsage x="1"/>
      </fieldsUsage>
    </cacheHierarchy>
    <cacheHierarchy uniqueName="[BUDGET].[Implemented by [select]]]" caption="Implemented by [select]" attribute="1" defaultMemberUniqueName="[BUDGET].[Implemented by [select]]].[All]" allUniqueName="[BUDGET].[Implemented by [select]]].[All]" dimensionUniqueName="[BUDGET]" displayFolder="" count="2" memberValueDatatype="130" unbalanced="0">
      <fieldsUsage count="2">
        <fieldUsage x="-1"/>
        <fieldUsage x="0"/>
      </fieldsUsage>
    </cacheHierarchy>
    <cacheHierarchy uniqueName="[BUDGET].[Budget Group]" caption="Budget Group" attribute="1" defaultMemberUniqueName="[BUDGET].[Budget Group].[All]" allUniqueName="[BUDGET].[Budget Group].[All]" dimensionUniqueName="[BUDGET]" displayFolder="" count="2" memberValueDatatype="130" unbalanced="0">
      <fieldsUsage count="2">
        <fieldUsage x="-1"/>
        <fieldUsage x="3"/>
      </fieldsUsage>
    </cacheHierarchy>
    <cacheHierarchy uniqueName="[BUDGET].[Quantity]" caption="Quantity" attribute="1" defaultMemberUniqueName="[BUDGET].[Quantity].[All]" allUniqueName="[BUDGET].[Quantity].[All]" dimensionUniqueName="[BUDGET]" displayFolder="" count="0" memberValueDatatype="130" unbalanced="0"/>
    <cacheHierarchy uniqueName="[BUDGET].[Unit]" caption="Unit" attribute="1" defaultMemberUniqueName="[BUDGET].[Unit].[All]" allUniqueName="[BUDGET].[Unit].[All]" dimensionUniqueName="[BUDGET]" displayFolder="" count="0" memberValueDatatype="130" unbalanced="0"/>
    <cacheHierarchy uniqueName="[BUDGET].[Unit Cost LC]" caption="Unit Cost LC" attribute="1" defaultMemberUniqueName="[BUDGET].[Unit Cost LC].[All]" allUniqueName="[BUDGET].[Unit Cost LC].[All]" dimensionUniqueName="[BUDGET]" displayFolder="" count="0" memberValueDatatype="130" unbalanced="0"/>
    <cacheHierarchy uniqueName="[BUDGET].[Unit Cost CHF]" caption="Unit Cost CHF" attribute="1" defaultMemberUniqueName="[BUDGET].[Unit Cost CHF].[All]" allUniqueName="[BUDGET].[Unit Cost CHF].[All]" dimensionUniqueName="[BUDGET]" displayFolder="" count="0" memberValueDatatype="130" unbalanced="0"/>
    <cacheHierarchy uniqueName="[BUDGET].[Total Cost LC]" caption="Total Cost LC" attribute="1" defaultMemberUniqueName="[BUDGET].[Total Cost LC].[All]" allUniqueName="[BUDGET].[Total Cost LC].[All]" dimensionUniqueName="[BUDGET]" displayFolder="" count="0" memberValueDatatype="20" unbalanced="0"/>
    <cacheHierarchy uniqueName="[BUDGET].[Total Cost CHF]" caption="Total Cost CHF" attribute="1" defaultMemberUniqueName="[BUDGET].[Total Cost CHF].[All]" allUniqueName="[BUDGET].[Total Cost CHF].[All]" dimensionUniqueName="[BUDGET]" displayFolder="" count="0" memberValueDatatype="20" unbalanced="0"/>
    <cacheHierarchy uniqueName="[BUDGET].[Review / Comments]" caption="Review / Comments" attribute="1" defaultMemberUniqueName="[BUDGET].[Review / Comments].[All]" allUniqueName="[BUDGET].[Review / Comments].[All]" dimensionUniqueName="[BUDGET]" displayFolder="" count="0" memberValueDatatype="130" unbalanced="0"/>
    <cacheHierarchy uniqueName="[Measures].[__XL_Count BUDGET]" caption="__XL_Count BUDGET" measure="1" displayFolder="" measureGroup="BUDGET" count="0" hidden="1"/>
    <cacheHierarchy uniqueName="[Measures].[__No measures defined]" caption="__No measures defined" measure="1" displayFolder="" count="0" hidden="1"/>
    <cacheHierarchy uniqueName="[Measures].[Sum of Total Cost CHF]" caption="Sum of Total Cost CHF" measure="1" displayFolder="" measureGroup="BUDGET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2">
    <dimension name="BUDGET" uniqueName="[BUDGET]" caption="BUDGET"/>
    <dimension measure="1" name="Measures" uniqueName="[Measures]" caption="Measures"/>
  </dimensions>
  <measureGroups count="1">
    <measureGroup name="BUDGET" caption="BUDGET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68304-158D-4DE9-975A-A6184F09FCD3}" name="PivotTable2" cacheId="3" applyNumberFormats="0" applyBorderFormats="0" applyFontFormats="0" applyPatternFormats="0" applyAlignmentFormats="0" applyWidthHeightFormats="1" dataCaption="Values" grandTotalCaption="TOTAL DIRECT COSTS" updatedVersion="8" minRefreshableVersion="3" subtotalHiddenItems="1" itemPrintTitles="1" createdVersion="8" indent="0" multipleFieldFilters="0" rowHeaderCaption="Implemented by">
  <location ref="A6:F8" firstHeaderRow="1" firstDataRow="1" firstDataCol="5"/>
  <pivotFields count="6">
    <pivotField name="Implemented by" axis="axisRow" compact="0" allDrilled="1" showAll="0" sortType="ascending" defaultAttributeDrillState="1">
      <items count="2">
        <item x="0" e="0"/>
        <item t="default"/>
      </items>
    </pivotField>
    <pivotField name="Block" axis="axisRow" compact="0" allDrilled="1" showAll="0" dataSourceSort="1" defaultAttributeDrillState="1">
      <items count="2">
        <item x="0"/>
        <item t="default"/>
      </items>
    </pivotField>
    <pivotField name="Output" axis="axisRow" compact="0" allDrilled="1" showAll="0" dataSourceSort="1" defaultAttributeDrillState="1">
      <items count="47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s="1" x="42"/>
        <item s="1" x="43"/>
        <item s="1" x="44"/>
        <item s="1" x="45"/>
        <item t="default"/>
      </items>
    </pivotField>
    <pivotField name="Budget" axis="axisRow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</pivotFields>
  <rowFields count="5">
    <field x="0"/>
    <field x="1"/>
    <field x="2"/>
    <field x="3"/>
    <field x="4"/>
  </rowFields>
  <rowItems count="2">
    <i>
      <x/>
    </i>
    <i t="grand">
      <x/>
    </i>
  </rowItems>
  <colItems count="1">
    <i/>
  </colItems>
  <dataFields count="1">
    <dataField name="Total CHF" fld="5" baseField="2" baseItem="1" numFmtId="4"/>
  </dataFields>
  <formats count="4"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fieldPosition="0">
        <references count="1">
          <reference field="4" count="0"/>
        </references>
      </pivotArea>
    </format>
    <format dxfId="5">
      <pivotArea dataOnly="0" labelOnly="1" fieldPosition="0">
        <references count="1">
          <reference field="4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otal CHF"/>
  </pivotHierarchies>
  <pivotTableStyleInfo name="PivotTable Style new" showRowHeaders="1" showColHeaders="1" showRowStripes="0" showColStripes="0" showLastColumn="1"/>
  <rowHierarchiesUsage count="5">
    <rowHierarchyUsage hierarchyUsage="3"/>
    <rowHierarchyUsage hierarchyUsage="2"/>
    <rowHierarchyUsage hierarchyUsage="0"/>
    <rowHierarchyUsage hierarchyUsage="4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REF budget template 2025 SAMPLE, PSSR INCL.xlsm!BUDGET">
        <x15:activeTabTopLevelEntity name="[BUDGE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227965-4193-406C-95D5-2F62504F7BAA}" name="BUDGET" displayName="BUDGET" ref="A8:L216" totalsRowCount="1" headerRowDxfId="47" dataDxfId="46" totalsRowDxfId="45">
  <autoFilter ref="A8:L215" xr:uid="{75E9C119-0FF6-40E2-ABBC-437CA64C5889}"/>
  <tableColumns count="12">
    <tableColumn id="1" xr3:uid="{6C40C721-78E3-49F0-A108-27C2FAC6D45E}" name="Output_x000a_Code" dataDxfId="44" totalsRowDxfId="43"/>
    <tableColumn id="3" xr3:uid="{67FABC88-EB18-44DE-8599-995A6DEB56CF}" name="Description" totalsRowLabel="DIRECT COSTS total" dataDxfId="42" totalsRowDxfId="41"/>
    <tableColumn id="2" xr3:uid="{FA8BF4AB-F53E-4163-BCDB-F119F85032C0}" name="Block_x000a_[select]" dataDxfId="40" totalsRowDxfId="39"/>
    <tableColumn id="10" xr3:uid="{77375E51-87B1-44ED-A214-8AF71CA9AF3F}" name="Implemented by [select]" dataDxfId="38" totalsRowDxfId="37"/>
    <tableColumn id="4" xr3:uid="{73E2E51B-C83C-40F5-A2C9-BA83DD580920}" name="Budget_x000a_Group" dataDxfId="36" totalsRowDxfId="35"/>
    <tableColumn id="5" xr3:uid="{4CFC8604-C9EE-4B92-A8B7-E822D5854CBA}" name="Quantity" dataDxfId="34" totalsRowDxfId="33"/>
    <tableColumn id="6" xr3:uid="{A0615E4D-9024-4041-9F08-AE0286CAF06E}" name="Unit" dataDxfId="32" totalsRowDxfId="31"/>
    <tableColumn id="7" xr3:uid="{1F7AAAB7-0EFB-4234-8AB8-4BED1B31C513}" name="Unit_x000a_Cost LC" dataDxfId="30" totalsRowDxfId="29"/>
    <tableColumn id="13" xr3:uid="{FFB467BA-B040-431C-BF20-9D06FEE18234}" name="Unit Cost CHF" dataDxfId="28" totalsRowDxfId="27">
      <calculatedColumnFormula>+BUDGET[[#This Row],[Total Cost CHF]]/BUDGET[[#This Row],[Quantity]]</calculatedColumnFormula>
    </tableColumn>
    <tableColumn id="8" xr3:uid="{4E79502F-F28B-414A-9E97-D12DD08E8E17}" name="Total Cost LC" totalsRowFunction="custom" dataDxfId="26" totalsRowDxfId="25">
      <calculatedColumnFormula>+BUDGET[[#This Row],[Quantity]]*BUDGET[[#This Row],[Unit
Cost LC]]</calculatedColumnFormula>
      <totalsRowFormula>+J15+J22+J29+J48+J61+J80+J87+J101+J132+J139+J146+J189+J196+J215</totalsRowFormula>
    </tableColumn>
    <tableColumn id="9" xr3:uid="{9F9EE1CB-9B58-4191-A208-9AAD2F14A172}" name="Total Cost CHF" totalsRowFunction="custom" dataDxfId="24" totalsRowDxfId="23">
      <calculatedColumnFormula>ROUND(+BUDGET[[#This Row],[Total Cost LC]]*RATE,2)</calculatedColumnFormula>
      <totalsRowFormula>+K15+K22+K29+K48+K61+K80+K87+K101+K132+K139+K146+K189+K196+K215</totalsRowFormula>
    </tableColumn>
    <tableColumn id="11" xr3:uid="{99821A94-9225-4620-A0A0-DD170B85B0AB}" name="Review / Comments" dataDxfId="22" totalsRowDxfId="21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761ADB-BBB2-468A-8E79-5B9656B39175}" name="BG_GROUPS" displayName="BG_GROUPS" ref="A3:C54" totalsRowShown="0" headerRowDxfId="12" dataDxfId="11">
  <autoFilter ref="A3:C54" xr:uid="{2535402B-0BC3-4410-B76B-48964011A0F0}"/>
  <tableColumns count="3">
    <tableColumn id="2" xr3:uid="{EFBF784D-92B4-4FB5-A695-EC2C4D78B6DF}" name="Budget Code" dataDxfId="10"/>
    <tableColumn id="3" xr3:uid="{6B0F576C-00F4-4B0E-8849-B09C778A16B7}" name="Budget Code Name" dataDxfId="9"/>
    <tableColumn id="4" xr3:uid="{26C1F47D-EE4C-4F7A-8FBE-812A36698D79}" name="Description" dataDxfId="8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IFRC Brand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F5333F"/>
      </a:accent1>
      <a:accent2>
        <a:srgbClr val="011E41"/>
      </a:accent2>
      <a:accent3>
        <a:srgbClr val="18355E"/>
      </a:accent3>
      <a:accent4>
        <a:srgbClr val="323232"/>
      </a:accent4>
      <a:accent5>
        <a:srgbClr val="E7E7E7"/>
      </a:accent5>
      <a:accent6>
        <a:srgbClr val="F2F2F2"/>
      </a:accent6>
      <a:hlink>
        <a:srgbClr val="236192"/>
      </a:hlink>
      <a:folHlink>
        <a:srgbClr val="CCD3DC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26AA-B259-4422-AFA3-6888801CFD45}">
  <sheetPr codeName="Sheet1">
    <tabColor rgb="FFF5333F"/>
    <pageSetUpPr fitToPage="1"/>
  </sheetPr>
  <dimension ref="A1:P218"/>
  <sheetViews>
    <sheetView showGridLines="0" zoomScaleNormal="100" workbookViewId="0">
      <selection activeCell="A5" sqref="A5:B5"/>
    </sheetView>
  </sheetViews>
  <sheetFormatPr defaultColWidth="9.140625" defaultRowHeight="14.25" outlineLevelRow="2" x14ac:dyDescent="0.3"/>
  <cols>
    <col min="1" max="1" width="10.42578125" style="20" customWidth="1"/>
    <col min="2" max="2" width="35.85546875" style="20" customWidth="1"/>
    <col min="3" max="3" width="16.85546875" style="20" customWidth="1"/>
    <col min="4" max="4" width="13.5703125" style="20" customWidth="1"/>
    <col min="5" max="5" width="7.5703125" style="20" customWidth="1"/>
    <col min="6" max="6" width="11.140625" style="20" customWidth="1"/>
    <col min="7" max="7" width="15.140625" style="20" customWidth="1"/>
    <col min="8" max="8" width="14.42578125" style="20" customWidth="1"/>
    <col min="9" max="9" width="14.42578125" style="20" hidden="1" customWidth="1"/>
    <col min="10" max="11" width="18.7109375" style="20" customWidth="1"/>
    <col min="12" max="12" width="25.7109375" style="20" customWidth="1"/>
    <col min="13" max="16384" width="9.140625" style="20"/>
  </cols>
  <sheetData>
    <row r="1" spans="1:16" ht="15" x14ac:dyDescent="0.3">
      <c r="A1" s="15" t="s">
        <v>0</v>
      </c>
      <c r="K1" s="89" t="str">
        <f>VERSION</f>
        <v>V2025.01.2</v>
      </c>
      <c r="L1" s="23"/>
    </row>
    <row r="2" spans="1:16" ht="27.75" x14ac:dyDescent="0.5">
      <c r="A2" s="22" t="s">
        <v>1</v>
      </c>
      <c r="K2" s="23" t="s">
        <v>2</v>
      </c>
      <c r="L2" s="23"/>
    </row>
    <row r="3" spans="1:16" ht="8.25" customHeight="1" x14ac:dyDescent="0.5">
      <c r="A3" s="24"/>
      <c r="L3" s="23"/>
    </row>
    <row r="4" spans="1:16" x14ac:dyDescent="0.3">
      <c r="A4" s="25" t="s">
        <v>3</v>
      </c>
      <c r="B4" s="25"/>
      <c r="C4" s="25" t="s">
        <v>4</v>
      </c>
      <c r="D4" s="25"/>
      <c r="E4" s="162"/>
      <c r="G4" s="25" t="s">
        <v>5</v>
      </c>
      <c r="H4" s="25" t="s">
        <v>6</v>
      </c>
      <c r="I4" s="25"/>
      <c r="J4" s="25" t="s">
        <v>7</v>
      </c>
      <c r="K4" s="25" t="s">
        <v>8</v>
      </c>
      <c r="L4" s="23"/>
    </row>
    <row r="5" spans="1:16" s="161" customFormat="1" ht="21" x14ac:dyDescent="0.4">
      <c r="A5" s="243" t="s">
        <v>9</v>
      </c>
      <c r="B5" s="244"/>
      <c r="C5" s="244" t="s">
        <v>10</v>
      </c>
      <c r="D5" s="244"/>
      <c r="E5" s="244"/>
      <c r="F5" s="244"/>
      <c r="G5" s="158" t="s">
        <v>11</v>
      </c>
      <c r="H5" s="158" t="s">
        <v>12</v>
      </c>
      <c r="I5" s="20"/>
      <c r="J5" s="159">
        <v>1</v>
      </c>
      <c r="K5" s="160" t="s">
        <v>13</v>
      </c>
      <c r="L5" s="23"/>
    </row>
    <row r="6" spans="1:16" ht="15" thickBot="1" x14ac:dyDescent="0.35">
      <c r="L6" s="23"/>
    </row>
    <row r="7" spans="1:16" ht="30" customHeight="1" thickTop="1" x14ac:dyDescent="0.3">
      <c r="C7" s="240" t="s">
        <v>14</v>
      </c>
      <c r="D7" s="241"/>
      <c r="E7" s="242"/>
      <c r="L7" s="23"/>
    </row>
    <row r="8" spans="1:16" ht="33" customHeight="1" x14ac:dyDescent="0.3">
      <c r="A8" s="26" t="s">
        <v>15</v>
      </c>
      <c r="B8" s="26" t="s">
        <v>16</v>
      </c>
      <c r="C8" s="155" t="s">
        <v>17</v>
      </c>
      <c r="D8" s="26" t="s">
        <v>18</v>
      </c>
      <c r="E8" s="26" t="s">
        <v>19</v>
      </c>
      <c r="F8" s="26" t="s">
        <v>20</v>
      </c>
      <c r="G8" s="26" t="s">
        <v>21</v>
      </c>
      <c r="H8" s="26" t="s">
        <v>22</v>
      </c>
      <c r="I8" s="26" t="s">
        <v>23</v>
      </c>
      <c r="J8" s="26" t="s">
        <v>24</v>
      </c>
      <c r="K8" s="26" t="s">
        <v>25</v>
      </c>
      <c r="L8" s="183" t="s">
        <v>26</v>
      </c>
      <c r="P8" s="4"/>
    </row>
    <row r="9" spans="1:16" s="32" customFormat="1" outlineLevel="2" x14ac:dyDescent="0.3">
      <c r="A9" s="21" t="s">
        <v>27</v>
      </c>
      <c r="B9" s="188"/>
      <c r="C9" s="154"/>
      <c r="D9" s="154"/>
      <c r="E9" s="154"/>
      <c r="F9" s="6"/>
      <c r="G9" s="5"/>
      <c r="H9" s="6"/>
      <c r="I9" s="6" t="e">
        <f>+BUDGET[[#This Row],[Total Cost CHF]]/BUDGET[[#This Row],[Quantity]]</f>
        <v>#DIV/0!</v>
      </c>
      <c r="J9" s="6">
        <f>+BUDGET[[#This Row],[Quantity]]*BUDGET[[#This Row],[Unit
Cost LC]]</f>
        <v>0</v>
      </c>
      <c r="K9" s="6">
        <f>ROUND(+BUDGET[[#This Row],[Total Cost LC]]*RATE,2)</f>
        <v>0</v>
      </c>
      <c r="L9" s="184"/>
    </row>
    <row r="10" spans="1:16" s="32" customFormat="1" outlineLevel="2" x14ac:dyDescent="0.3">
      <c r="A10" s="5" t="s">
        <v>27</v>
      </c>
      <c r="B10" s="188"/>
      <c r="C10" s="154"/>
      <c r="D10" s="154"/>
      <c r="E10" s="154"/>
      <c r="F10" s="6"/>
      <c r="G10" s="5"/>
      <c r="H10" s="6"/>
      <c r="I10" s="6" t="e">
        <f>+BUDGET[[#This Row],[Total Cost CHF]]/BUDGET[[#This Row],[Quantity]]</f>
        <v>#DIV/0!</v>
      </c>
      <c r="J10" s="6">
        <f>+BUDGET[[#This Row],[Quantity]]*BUDGET[[#This Row],[Unit
Cost LC]]</f>
        <v>0</v>
      </c>
      <c r="K10" s="6">
        <f>ROUND(+BUDGET[[#This Row],[Total Cost LC]]*RATE,2)</f>
        <v>0</v>
      </c>
      <c r="L10" s="184"/>
    </row>
    <row r="11" spans="1:16" s="32" customFormat="1" outlineLevel="2" x14ac:dyDescent="0.3">
      <c r="A11" s="5" t="s">
        <v>27</v>
      </c>
      <c r="B11" s="188"/>
      <c r="C11" s="154"/>
      <c r="D11" s="154"/>
      <c r="E11" s="154"/>
      <c r="F11" s="6"/>
      <c r="G11" s="5"/>
      <c r="H11" s="6"/>
      <c r="I11" s="6" t="e">
        <f>+BUDGET[[#This Row],[Total Cost CHF]]/BUDGET[[#This Row],[Quantity]]</f>
        <v>#DIV/0!</v>
      </c>
      <c r="J11" s="6">
        <f>+BUDGET[[#This Row],[Quantity]]*BUDGET[[#This Row],[Unit
Cost LC]]</f>
        <v>0</v>
      </c>
      <c r="K11" s="6">
        <f>ROUND(+BUDGET[[#This Row],[Total Cost LC]]*RATE,2)</f>
        <v>0</v>
      </c>
      <c r="L11" s="184"/>
    </row>
    <row r="12" spans="1:16" s="32" customFormat="1" outlineLevel="2" x14ac:dyDescent="0.3">
      <c r="A12" s="5" t="s">
        <v>27</v>
      </c>
      <c r="B12" s="188"/>
      <c r="C12" s="154"/>
      <c r="D12" s="154"/>
      <c r="E12" s="154"/>
      <c r="F12" s="6"/>
      <c r="G12" s="5"/>
      <c r="H12" s="6"/>
      <c r="I12" s="6" t="e">
        <f>+BUDGET[[#This Row],[Total Cost CHF]]/BUDGET[[#This Row],[Quantity]]</f>
        <v>#DIV/0!</v>
      </c>
      <c r="J12" s="6">
        <f>+BUDGET[[#This Row],[Quantity]]*BUDGET[[#This Row],[Unit
Cost LC]]</f>
        <v>0</v>
      </c>
      <c r="K12" s="6">
        <f>ROUND(+BUDGET[[#This Row],[Total Cost LC]]*RATE,2)</f>
        <v>0</v>
      </c>
      <c r="L12" s="184"/>
    </row>
    <row r="13" spans="1:16" s="32" customFormat="1" outlineLevel="2" x14ac:dyDescent="0.3">
      <c r="A13" s="5" t="s">
        <v>27</v>
      </c>
      <c r="B13" s="188"/>
      <c r="C13" s="154"/>
      <c r="D13" s="154"/>
      <c r="E13" s="154"/>
      <c r="F13" s="6"/>
      <c r="G13" s="5"/>
      <c r="H13" s="6"/>
      <c r="I13" s="6" t="e">
        <f>+BUDGET[[#This Row],[Total Cost CHF]]/BUDGET[[#This Row],[Quantity]]</f>
        <v>#DIV/0!</v>
      </c>
      <c r="J13" s="6">
        <f>+BUDGET[[#This Row],[Quantity]]*BUDGET[[#This Row],[Unit
Cost LC]]</f>
        <v>0</v>
      </c>
      <c r="K13" s="6">
        <f>ROUND(+BUDGET[[#This Row],[Total Cost LC]]*RATE,2)</f>
        <v>0</v>
      </c>
      <c r="L13" s="184"/>
    </row>
    <row r="14" spans="1:16" s="32" customFormat="1" outlineLevel="1" x14ac:dyDescent="0.3">
      <c r="A14" s="91" t="s">
        <v>28</v>
      </c>
      <c r="B14" s="91" t="s">
        <v>29</v>
      </c>
      <c r="C14" s="169"/>
      <c r="D14" s="169"/>
      <c r="E14" s="169"/>
      <c r="F14" s="96"/>
      <c r="G14" s="91"/>
      <c r="H14" s="92" t="s">
        <v>27</v>
      </c>
      <c r="I14" s="92" t="e">
        <f>+BUDGET[[#This Row],[Total Cost CHF]]/BUDGET[[#This Row],[Quantity]]</f>
        <v>#DIV/0!</v>
      </c>
      <c r="J14" s="93">
        <f>SUMIFS(BUDGET[Total Cost LC],BUDGET[Output
Code],BUDGET[[#This Row],[Unit
Cost LC]])</f>
        <v>0</v>
      </c>
      <c r="K14" s="93">
        <f>ROUND(+BUDGET[[#This Row],[Total Cost LC]]*RATE,2)</f>
        <v>0</v>
      </c>
      <c r="L14" s="185"/>
    </row>
    <row r="15" spans="1:16" s="32" customFormat="1" x14ac:dyDescent="0.3">
      <c r="A15" s="94" t="s">
        <v>30</v>
      </c>
      <c r="B15" s="94" t="s">
        <v>31</v>
      </c>
      <c r="C15" s="170"/>
      <c r="D15" s="170"/>
      <c r="E15" s="170"/>
      <c r="F15" s="95"/>
      <c r="G15" s="94"/>
      <c r="H15" s="97"/>
      <c r="I15" s="97" t="e">
        <f>+BUDGET[[#This Row],[Total Cost CHF]]/BUDGET[[#This Row],[Quantity]]</f>
        <v>#DIV/0!</v>
      </c>
      <c r="J15" s="203">
        <f>+J14</f>
        <v>0</v>
      </c>
      <c r="K15" s="203">
        <f>ROUND(+BUDGET[[#This Row],[Total Cost LC]]*RATE,2)</f>
        <v>0</v>
      </c>
      <c r="L15" s="186"/>
    </row>
    <row r="16" spans="1:16" s="32" customFormat="1" outlineLevel="2" x14ac:dyDescent="0.3">
      <c r="A16" s="21" t="s">
        <v>32</v>
      </c>
      <c r="B16" s="188"/>
      <c r="C16" s="154"/>
      <c r="D16" s="154"/>
      <c r="E16" s="163"/>
      <c r="F16" s="6"/>
      <c r="G16" s="5"/>
      <c r="H16" s="6"/>
      <c r="I16" s="6" t="e">
        <f>+BUDGET[[#This Row],[Total Cost CHF]]/BUDGET[[#This Row],[Quantity]]</f>
        <v>#DIV/0!</v>
      </c>
      <c r="J16" s="6">
        <f>+BUDGET[[#This Row],[Quantity]]*BUDGET[[#This Row],[Unit
Cost LC]]</f>
        <v>0</v>
      </c>
      <c r="K16" s="6">
        <f>ROUND(+BUDGET[[#This Row],[Total Cost LC]]*RATE,2)</f>
        <v>0</v>
      </c>
      <c r="L16" s="184"/>
    </row>
    <row r="17" spans="1:12" s="32" customFormat="1" outlineLevel="2" x14ac:dyDescent="0.3">
      <c r="A17" s="5" t="s">
        <v>32</v>
      </c>
      <c r="B17" s="188"/>
      <c r="C17" s="154"/>
      <c r="D17" s="154"/>
      <c r="E17" s="154"/>
      <c r="F17" s="6"/>
      <c r="G17" s="5"/>
      <c r="H17" s="6"/>
      <c r="I17" s="6" t="e">
        <f>+BUDGET[[#This Row],[Total Cost CHF]]/BUDGET[[#This Row],[Quantity]]</f>
        <v>#DIV/0!</v>
      </c>
      <c r="J17" s="6">
        <f>+BUDGET[[#This Row],[Quantity]]*BUDGET[[#This Row],[Unit
Cost LC]]</f>
        <v>0</v>
      </c>
      <c r="K17" s="6">
        <f>ROUND(+BUDGET[[#This Row],[Total Cost LC]]*RATE,2)</f>
        <v>0</v>
      </c>
      <c r="L17" s="184"/>
    </row>
    <row r="18" spans="1:12" s="32" customFormat="1" outlineLevel="2" x14ac:dyDescent="0.3">
      <c r="A18" s="5" t="s">
        <v>32</v>
      </c>
      <c r="B18" s="188"/>
      <c r="C18" s="154"/>
      <c r="D18" s="154"/>
      <c r="E18" s="163"/>
      <c r="F18" s="6"/>
      <c r="G18" s="5"/>
      <c r="H18" s="6"/>
      <c r="I18" s="6" t="e">
        <f>+BUDGET[[#This Row],[Total Cost CHF]]/BUDGET[[#This Row],[Quantity]]</f>
        <v>#DIV/0!</v>
      </c>
      <c r="J18" s="6">
        <f>+BUDGET[[#This Row],[Quantity]]*BUDGET[[#This Row],[Unit
Cost LC]]</f>
        <v>0</v>
      </c>
      <c r="K18" s="6">
        <f>ROUND(+BUDGET[[#This Row],[Total Cost LC]]*RATE,2)</f>
        <v>0</v>
      </c>
      <c r="L18" s="184"/>
    </row>
    <row r="19" spans="1:12" s="32" customFormat="1" outlineLevel="2" x14ac:dyDescent="0.3">
      <c r="A19" s="5" t="s">
        <v>32</v>
      </c>
      <c r="B19" s="188"/>
      <c r="C19" s="154"/>
      <c r="D19" s="154"/>
      <c r="E19" s="163"/>
      <c r="F19" s="6"/>
      <c r="G19" s="5"/>
      <c r="H19" s="6"/>
      <c r="I19" s="6" t="e">
        <f>+BUDGET[[#This Row],[Total Cost CHF]]/BUDGET[[#This Row],[Quantity]]</f>
        <v>#DIV/0!</v>
      </c>
      <c r="J19" s="6">
        <f>+BUDGET[[#This Row],[Quantity]]*BUDGET[[#This Row],[Unit
Cost LC]]</f>
        <v>0</v>
      </c>
      <c r="K19" s="6">
        <f>ROUND(+BUDGET[[#This Row],[Total Cost LC]]*RATE,2)</f>
        <v>0</v>
      </c>
      <c r="L19" s="184"/>
    </row>
    <row r="20" spans="1:12" s="32" customFormat="1" outlineLevel="2" x14ac:dyDescent="0.3">
      <c r="A20" s="5" t="s">
        <v>32</v>
      </c>
      <c r="B20" s="188"/>
      <c r="C20" s="154"/>
      <c r="D20" s="154"/>
      <c r="E20" s="163"/>
      <c r="F20" s="6"/>
      <c r="G20" s="5"/>
      <c r="H20" s="6"/>
      <c r="I20" s="6" t="e">
        <f>+BUDGET[[#This Row],[Total Cost CHF]]/BUDGET[[#This Row],[Quantity]]</f>
        <v>#DIV/0!</v>
      </c>
      <c r="J20" s="6">
        <f>+BUDGET[[#This Row],[Quantity]]*BUDGET[[#This Row],[Unit
Cost LC]]</f>
        <v>0</v>
      </c>
      <c r="K20" s="6">
        <f>ROUND(+BUDGET[[#This Row],[Total Cost LC]]*RATE,2)</f>
        <v>0</v>
      </c>
      <c r="L20" s="184"/>
    </row>
    <row r="21" spans="1:12" s="32" customFormat="1" outlineLevel="1" x14ac:dyDescent="0.3">
      <c r="A21" s="91" t="s">
        <v>33</v>
      </c>
      <c r="B21" s="91" t="s">
        <v>34</v>
      </c>
      <c r="C21" s="91"/>
      <c r="D21" s="91"/>
      <c r="E21" s="164"/>
      <c r="F21" s="96"/>
      <c r="G21" s="91"/>
      <c r="H21" s="92" t="s">
        <v>32</v>
      </c>
      <c r="I21" s="92" t="e">
        <f>+BUDGET[[#This Row],[Total Cost CHF]]/BUDGET[[#This Row],[Quantity]]</f>
        <v>#DIV/0!</v>
      </c>
      <c r="J21" s="93">
        <f>SUMIFS(BUDGET[Total Cost LC],BUDGET[Output
Code],BUDGET[[#This Row],[Unit
Cost LC]])</f>
        <v>0</v>
      </c>
      <c r="K21" s="93">
        <f>ROUND(+BUDGET[[#This Row],[Total Cost LC]]*RATE,2)</f>
        <v>0</v>
      </c>
      <c r="L21" s="185"/>
    </row>
    <row r="22" spans="1:12" s="32" customFormat="1" x14ac:dyDescent="0.3">
      <c r="A22" s="94" t="s">
        <v>35</v>
      </c>
      <c r="B22" s="94" t="s">
        <v>36</v>
      </c>
      <c r="C22" s="94"/>
      <c r="D22" s="94"/>
      <c r="E22" s="165"/>
      <c r="F22" s="95"/>
      <c r="G22" s="94"/>
      <c r="H22" s="97"/>
      <c r="I22" s="97" t="e">
        <f>+BUDGET[[#This Row],[Total Cost CHF]]/BUDGET[[#This Row],[Quantity]]</f>
        <v>#DIV/0!</v>
      </c>
      <c r="J22" s="203">
        <f>+J21</f>
        <v>0</v>
      </c>
      <c r="K22" s="203">
        <f>ROUND(+BUDGET[[#This Row],[Total Cost LC]]*RATE,2)</f>
        <v>0</v>
      </c>
      <c r="L22" s="186"/>
    </row>
    <row r="23" spans="1:12" s="32" customFormat="1" outlineLevel="2" x14ac:dyDescent="0.3">
      <c r="A23" s="21" t="s">
        <v>37</v>
      </c>
      <c r="B23" s="188"/>
      <c r="C23" s="154"/>
      <c r="D23" s="154"/>
      <c r="E23" s="163"/>
      <c r="F23" s="6"/>
      <c r="G23" s="5"/>
      <c r="H23" s="6"/>
      <c r="I23" s="6" t="e">
        <f>+BUDGET[[#This Row],[Total Cost CHF]]/BUDGET[[#This Row],[Quantity]]</f>
        <v>#DIV/0!</v>
      </c>
      <c r="J23" s="6">
        <f>+BUDGET[[#This Row],[Quantity]]*BUDGET[[#This Row],[Unit
Cost LC]]</f>
        <v>0</v>
      </c>
      <c r="K23" s="6">
        <f>ROUND(+BUDGET[[#This Row],[Total Cost LC]]*RATE,2)</f>
        <v>0</v>
      </c>
      <c r="L23" s="184"/>
    </row>
    <row r="24" spans="1:12" s="32" customFormat="1" outlineLevel="2" x14ac:dyDescent="0.3">
      <c r="A24" s="5" t="s">
        <v>37</v>
      </c>
      <c r="B24" s="188"/>
      <c r="C24" s="154"/>
      <c r="D24" s="154"/>
      <c r="E24" s="163"/>
      <c r="F24" s="6"/>
      <c r="G24" s="5"/>
      <c r="H24" s="6"/>
      <c r="I24" s="6" t="e">
        <f>+BUDGET[[#This Row],[Total Cost CHF]]/BUDGET[[#This Row],[Quantity]]</f>
        <v>#DIV/0!</v>
      </c>
      <c r="J24" s="6">
        <f>+BUDGET[[#This Row],[Quantity]]*BUDGET[[#This Row],[Unit
Cost LC]]</f>
        <v>0</v>
      </c>
      <c r="K24" s="6">
        <f>ROUND(+BUDGET[[#This Row],[Total Cost LC]]*RATE,2)</f>
        <v>0</v>
      </c>
      <c r="L24" s="184"/>
    </row>
    <row r="25" spans="1:12" s="32" customFormat="1" outlineLevel="2" x14ac:dyDescent="0.3">
      <c r="A25" s="5" t="s">
        <v>37</v>
      </c>
      <c r="B25" s="188"/>
      <c r="C25" s="154"/>
      <c r="D25" s="154"/>
      <c r="E25" s="163"/>
      <c r="F25" s="6"/>
      <c r="G25" s="5"/>
      <c r="H25" s="6"/>
      <c r="I25" s="6" t="e">
        <f>+BUDGET[[#This Row],[Total Cost CHF]]/BUDGET[[#This Row],[Quantity]]</f>
        <v>#DIV/0!</v>
      </c>
      <c r="J25" s="6">
        <f>+BUDGET[[#This Row],[Quantity]]*BUDGET[[#This Row],[Unit
Cost LC]]</f>
        <v>0</v>
      </c>
      <c r="K25" s="6">
        <f>ROUND(+BUDGET[[#This Row],[Total Cost LC]]*RATE,2)</f>
        <v>0</v>
      </c>
      <c r="L25" s="184"/>
    </row>
    <row r="26" spans="1:12" s="32" customFormat="1" outlineLevel="2" x14ac:dyDescent="0.3">
      <c r="A26" s="5" t="s">
        <v>37</v>
      </c>
      <c r="B26" s="188"/>
      <c r="C26" s="154"/>
      <c r="D26" s="154"/>
      <c r="E26" s="163"/>
      <c r="F26" s="6"/>
      <c r="G26" s="5"/>
      <c r="H26" s="6"/>
      <c r="I26" s="6" t="e">
        <f>+BUDGET[[#This Row],[Total Cost CHF]]/BUDGET[[#This Row],[Quantity]]</f>
        <v>#DIV/0!</v>
      </c>
      <c r="J26" s="6">
        <f>+BUDGET[[#This Row],[Quantity]]*BUDGET[[#This Row],[Unit
Cost LC]]</f>
        <v>0</v>
      </c>
      <c r="K26" s="6">
        <f>ROUND(+BUDGET[[#This Row],[Total Cost LC]]*RATE,2)</f>
        <v>0</v>
      </c>
      <c r="L26" s="184"/>
    </row>
    <row r="27" spans="1:12" s="32" customFormat="1" outlineLevel="2" x14ac:dyDescent="0.3">
      <c r="A27" s="5" t="s">
        <v>37</v>
      </c>
      <c r="B27" s="188"/>
      <c r="C27" s="154"/>
      <c r="D27" s="154"/>
      <c r="E27" s="163"/>
      <c r="F27" s="6"/>
      <c r="G27" s="5"/>
      <c r="H27" s="6"/>
      <c r="I27" s="6" t="e">
        <f>+BUDGET[[#This Row],[Total Cost CHF]]/BUDGET[[#This Row],[Quantity]]</f>
        <v>#DIV/0!</v>
      </c>
      <c r="J27" s="6">
        <f>+BUDGET[[#This Row],[Quantity]]*BUDGET[[#This Row],[Unit
Cost LC]]</f>
        <v>0</v>
      </c>
      <c r="K27" s="6">
        <f>ROUND(+BUDGET[[#This Row],[Total Cost LC]]*RATE,2)</f>
        <v>0</v>
      </c>
      <c r="L27" s="184"/>
    </row>
    <row r="28" spans="1:12" s="32" customFormat="1" outlineLevel="1" x14ac:dyDescent="0.3">
      <c r="A28" s="91" t="s">
        <v>38</v>
      </c>
      <c r="B28" s="91" t="s">
        <v>39</v>
      </c>
      <c r="C28" s="91"/>
      <c r="D28" s="91"/>
      <c r="E28" s="164"/>
      <c r="F28" s="96"/>
      <c r="G28" s="91"/>
      <c r="H28" s="92" t="s">
        <v>37</v>
      </c>
      <c r="I28" s="92" t="e">
        <f>+BUDGET[[#This Row],[Total Cost CHF]]/BUDGET[[#This Row],[Quantity]]</f>
        <v>#DIV/0!</v>
      </c>
      <c r="J28" s="93">
        <f>SUMIFS(BUDGET[Total Cost LC],BUDGET[Output
Code],BUDGET[[#This Row],[Unit
Cost LC]])</f>
        <v>0</v>
      </c>
      <c r="K28" s="93">
        <f>ROUND(+BUDGET[[#This Row],[Total Cost LC]]*RATE,2)</f>
        <v>0</v>
      </c>
      <c r="L28" s="185"/>
    </row>
    <row r="29" spans="1:12" s="32" customFormat="1" x14ac:dyDescent="0.3">
      <c r="A29" s="94" t="s">
        <v>40</v>
      </c>
      <c r="B29" s="94" t="s">
        <v>41</v>
      </c>
      <c r="C29" s="94"/>
      <c r="D29" s="94"/>
      <c r="E29" s="165"/>
      <c r="F29" s="95"/>
      <c r="G29" s="94"/>
      <c r="H29" s="97"/>
      <c r="I29" s="97" t="e">
        <f>+BUDGET[[#This Row],[Total Cost CHF]]/BUDGET[[#This Row],[Quantity]]</f>
        <v>#DIV/0!</v>
      </c>
      <c r="J29" s="203">
        <f>+J28</f>
        <v>0</v>
      </c>
      <c r="K29" s="203">
        <f>ROUND(+BUDGET[[#This Row],[Total Cost LC]]*RATE,2)</f>
        <v>0</v>
      </c>
      <c r="L29" s="186"/>
    </row>
    <row r="30" spans="1:12" s="32" customFormat="1" outlineLevel="2" x14ac:dyDescent="0.3">
      <c r="A30" s="21" t="s">
        <v>42</v>
      </c>
      <c r="B30" s="188"/>
      <c r="C30" s="154"/>
      <c r="D30" s="154"/>
      <c r="E30" s="163"/>
      <c r="F30" s="6"/>
      <c r="G30" s="5"/>
      <c r="H30" s="6"/>
      <c r="I30" s="6" t="e">
        <f>+BUDGET[[#This Row],[Total Cost CHF]]/BUDGET[[#This Row],[Quantity]]</f>
        <v>#DIV/0!</v>
      </c>
      <c r="J30" s="6">
        <f>+BUDGET[[#This Row],[Quantity]]*BUDGET[[#This Row],[Unit
Cost LC]]</f>
        <v>0</v>
      </c>
      <c r="K30" s="6">
        <f>ROUND(+BUDGET[[#This Row],[Total Cost LC]]*RATE,2)</f>
        <v>0</v>
      </c>
      <c r="L30" s="184"/>
    </row>
    <row r="31" spans="1:12" s="32" customFormat="1" outlineLevel="2" x14ac:dyDescent="0.3">
      <c r="A31" s="5" t="s">
        <v>42</v>
      </c>
      <c r="B31" s="188"/>
      <c r="C31" s="154"/>
      <c r="D31" s="154"/>
      <c r="E31" s="154"/>
      <c r="F31" s="6"/>
      <c r="G31" s="5"/>
      <c r="H31" s="6"/>
      <c r="I31" s="6" t="e">
        <f>+BUDGET[[#This Row],[Total Cost CHF]]/BUDGET[[#This Row],[Quantity]]</f>
        <v>#DIV/0!</v>
      </c>
      <c r="J31" s="6">
        <f>+BUDGET[[#This Row],[Quantity]]*BUDGET[[#This Row],[Unit
Cost LC]]</f>
        <v>0</v>
      </c>
      <c r="K31" s="6">
        <f>ROUND(+BUDGET[[#This Row],[Total Cost LC]]*RATE,2)</f>
        <v>0</v>
      </c>
      <c r="L31" s="184"/>
    </row>
    <row r="32" spans="1:12" s="32" customFormat="1" outlineLevel="2" x14ac:dyDescent="0.3">
      <c r="A32" s="5" t="s">
        <v>42</v>
      </c>
      <c r="B32" s="188"/>
      <c r="C32" s="154"/>
      <c r="D32" s="154"/>
      <c r="E32" s="163"/>
      <c r="F32" s="6"/>
      <c r="G32" s="5"/>
      <c r="H32" s="6"/>
      <c r="I32" s="6" t="e">
        <f>+BUDGET[[#This Row],[Total Cost CHF]]/BUDGET[[#This Row],[Quantity]]</f>
        <v>#DIV/0!</v>
      </c>
      <c r="J32" s="6">
        <f>+BUDGET[[#This Row],[Quantity]]*BUDGET[[#This Row],[Unit
Cost LC]]</f>
        <v>0</v>
      </c>
      <c r="K32" s="6">
        <f>ROUND(+BUDGET[[#This Row],[Total Cost LC]]*RATE,2)</f>
        <v>0</v>
      </c>
      <c r="L32" s="184"/>
    </row>
    <row r="33" spans="1:12" s="32" customFormat="1" outlineLevel="2" x14ac:dyDescent="0.3">
      <c r="A33" s="5" t="s">
        <v>42</v>
      </c>
      <c r="B33" s="188"/>
      <c r="C33" s="154"/>
      <c r="D33" s="154"/>
      <c r="E33" s="163"/>
      <c r="F33" s="6"/>
      <c r="G33" s="5"/>
      <c r="H33" s="6"/>
      <c r="I33" s="6" t="e">
        <f>+BUDGET[[#This Row],[Total Cost CHF]]/BUDGET[[#This Row],[Quantity]]</f>
        <v>#DIV/0!</v>
      </c>
      <c r="J33" s="6">
        <f>+BUDGET[[#This Row],[Quantity]]*BUDGET[[#This Row],[Unit
Cost LC]]</f>
        <v>0</v>
      </c>
      <c r="K33" s="6">
        <f>ROUND(+BUDGET[[#This Row],[Total Cost LC]]*RATE,2)</f>
        <v>0</v>
      </c>
      <c r="L33" s="184"/>
    </row>
    <row r="34" spans="1:12" s="32" customFormat="1" outlineLevel="2" x14ac:dyDescent="0.3">
      <c r="A34" s="5" t="s">
        <v>42</v>
      </c>
      <c r="B34" s="188"/>
      <c r="C34" s="154"/>
      <c r="D34" s="154"/>
      <c r="E34" s="163"/>
      <c r="F34" s="6"/>
      <c r="G34" s="5"/>
      <c r="H34" s="6"/>
      <c r="I34" s="6" t="e">
        <f>+BUDGET[[#This Row],[Total Cost CHF]]/BUDGET[[#This Row],[Quantity]]</f>
        <v>#DIV/0!</v>
      </c>
      <c r="J34" s="6">
        <f>+BUDGET[[#This Row],[Quantity]]*BUDGET[[#This Row],[Unit
Cost LC]]</f>
        <v>0</v>
      </c>
      <c r="K34" s="6">
        <f>ROUND(+BUDGET[[#This Row],[Total Cost LC]]*RATE,2)</f>
        <v>0</v>
      </c>
      <c r="L34" s="184"/>
    </row>
    <row r="35" spans="1:12" s="32" customFormat="1" outlineLevel="1" x14ac:dyDescent="0.3">
      <c r="A35" s="91" t="s">
        <v>43</v>
      </c>
      <c r="B35" s="91" t="s">
        <v>44</v>
      </c>
      <c r="C35" s="91"/>
      <c r="D35" s="91"/>
      <c r="E35" s="164"/>
      <c r="F35" s="96"/>
      <c r="G35" s="91"/>
      <c r="H35" s="92" t="s">
        <v>42</v>
      </c>
      <c r="I35" s="92" t="e">
        <f>+BUDGET[[#This Row],[Total Cost CHF]]/BUDGET[[#This Row],[Quantity]]</f>
        <v>#DIV/0!</v>
      </c>
      <c r="J35" s="93">
        <f>SUMIFS(BUDGET[Total Cost LC],BUDGET[Output
Code],BUDGET[[#This Row],[Unit
Cost LC]])</f>
        <v>0</v>
      </c>
      <c r="K35" s="93">
        <f>ROUND(+BUDGET[[#This Row],[Total Cost LC]]*RATE,2)</f>
        <v>0</v>
      </c>
      <c r="L35" s="185"/>
    </row>
    <row r="36" spans="1:12" s="32" customFormat="1" outlineLevel="2" x14ac:dyDescent="0.3">
      <c r="A36" s="21" t="s">
        <v>45</v>
      </c>
      <c r="B36" s="188"/>
      <c r="C36" s="154"/>
      <c r="D36" s="154"/>
      <c r="E36" s="154"/>
      <c r="F36" s="6"/>
      <c r="G36" s="5"/>
      <c r="H36" s="6"/>
      <c r="I36" s="6" t="e">
        <f>+BUDGET[[#This Row],[Total Cost CHF]]/BUDGET[[#This Row],[Quantity]]</f>
        <v>#DIV/0!</v>
      </c>
      <c r="J36" s="6">
        <f>+BUDGET[[#This Row],[Quantity]]*BUDGET[[#This Row],[Unit
Cost LC]]</f>
        <v>0</v>
      </c>
      <c r="K36" s="6">
        <f>ROUND(+BUDGET[[#This Row],[Total Cost LC]]*RATE,2)</f>
        <v>0</v>
      </c>
      <c r="L36" s="184"/>
    </row>
    <row r="37" spans="1:12" s="32" customFormat="1" outlineLevel="2" x14ac:dyDescent="0.3">
      <c r="A37" s="5" t="s">
        <v>45</v>
      </c>
      <c r="B37" s="188"/>
      <c r="C37" s="154"/>
      <c r="D37" s="154"/>
      <c r="E37" s="154"/>
      <c r="F37" s="6"/>
      <c r="G37" s="5"/>
      <c r="H37" s="6"/>
      <c r="I37" s="6" t="e">
        <f>+BUDGET[[#This Row],[Total Cost CHF]]/BUDGET[[#This Row],[Quantity]]</f>
        <v>#DIV/0!</v>
      </c>
      <c r="J37" s="6">
        <f>+BUDGET[[#This Row],[Quantity]]*BUDGET[[#This Row],[Unit
Cost LC]]</f>
        <v>0</v>
      </c>
      <c r="K37" s="6">
        <f>ROUND(+BUDGET[[#This Row],[Total Cost LC]]*RATE,2)</f>
        <v>0</v>
      </c>
      <c r="L37" s="184"/>
    </row>
    <row r="38" spans="1:12" s="32" customFormat="1" outlineLevel="2" x14ac:dyDescent="0.3">
      <c r="A38" s="5" t="s">
        <v>45</v>
      </c>
      <c r="B38" s="188"/>
      <c r="C38" s="154"/>
      <c r="D38" s="154"/>
      <c r="E38" s="163"/>
      <c r="F38" s="6"/>
      <c r="G38" s="5"/>
      <c r="H38" s="6"/>
      <c r="I38" s="6" t="e">
        <f>+BUDGET[[#This Row],[Total Cost CHF]]/BUDGET[[#This Row],[Quantity]]</f>
        <v>#DIV/0!</v>
      </c>
      <c r="J38" s="6">
        <f>+BUDGET[[#This Row],[Quantity]]*BUDGET[[#This Row],[Unit
Cost LC]]</f>
        <v>0</v>
      </c>
      <c r="K38" s="6">
        <f>ROUND(+BUDGET[[#This Row],[Total Cost LC]]*RATE,2)</f>
        <v>0</v>
      </c>
      <c r="L38" s="184"/>
    </row>
    <row r="39" spans="1:12" s="32" customFormat="1" outlineLevel="2" x14ac:dyDescent="0.3">
      <c r="A39" s="5" t="s">
        <v>45</v>
      </c>
      <c r="B39" s="188"/>
      <c r="C39" s="154"/>
      <c r="D39" s="154"/>
      <c r="E39" s="163"/>
      <c r="F39" s="6"/>
      <c r="G39" s="5"/>
      <c r="H39" s="6"/>
      <c r="I39" s="6" t="e">
        <f>+BUDGET[[#This Row],[Total Cost CHF]]/BUDGET[[#This Row],[Quantity]]</f>
        <v>#DIV/0!</v>
      </c>
      <c r="J39" s="6">
        <f>+BUDGET[[#This Row],[Quantity]]*BUDGET[[#This Row],[Unit
Cost LC]]</f>
        <v>0</v>
      </c>
      <c r="K39" s="6">
        <f>ROUND(+BUDGET[[#This Row],[Total Cost LC]]*RATE,2)</f>
        <v>0</v>
      </c>
      <c r="L39" s="184"/>
    </row>
    <row r="40" spans="1:12" s="32" customFormat="1" outlineLevel="2" x14ac:dyDescent="0.3">
      <c r="A40" s="5" t="s">
        <v>45</v>
      </c>
      <c r="B40" s="188"/>
      <c r="C40" s="154"/>
      <c r="D40" s="154"/>
      <c r="E40" s="163"/>
      <c r="F40" s="6"/>
      <c r="G40" s="5"/>
      <c r="H40" s="6"/>
      <c r="I40" s="6" t="e">
        <f>+BUDGET[[#This Row],[Total Cost CHF]]/BUDGET[[#This Row],[Quantity]]</f>
        <v>#DIV/0!</v>
      </c>
      <c r="J40" s="6">
        <f>+BUDGET[[#This Row],[Quantity]]*BUDGET[[#This Row],[Unit
Cost LC]]</f>
        <v>0</v>
      </c>
      <c r="K40" s="6">
        <f>ROUND(+BUDGET[[#This Row],[Total Cost LC]]*RATE,2)</f>
        <v>0</v>
      </c>
      <c r="L40" s="184"/>
    </row>
    <row r="41" spans="1:12" s="32" customFormat="1" outlineLevel="1" x14ac:dyDescent="0.3">
      <c r="A41" s="91" t="s">
        <v>46</v>
      </c>
      <c r="B41" s="91" t="s">
        <v>47</v>
      </c>
      <c r="C41" s="169"/>
      <c r="D41" s="169"/>
      <c r="E41" s="169"/>
      <c r="F41" s="96"/>
      <c r="G41" s="91"/>
      <c r="H41" s="92" t="s">
        <v>45</v>
      </c>
      <c r="I41" s="92" t="e">
        <f>+BUDGET[[#This Row],[Total Cost CHF]]/BUDGET[[#This Row],[Quantity]]</f>
        <v>#DIV/0!</v>
      </c>
      <c r="J41" s="93">
        <f>SUMIFS(BUDGET[Total Cost LC],BUDGET[Output
Code],BUDGET[[#This Row],[Unit
Cost LC]])</f>
        <v>0</v>
      </c>
      <c r="K41" s="93">
        <f>ROUND(+BUDGET[[#This Row],[Total Cost LC]]*RATE,2)</f>
        <v>0</v>
      </c>
      <c r="L41" s="185"/>
    </row>
    <row r="42" spans="1:12" s="32" customFormat="1" outlineLevel="2" x14ac:dyDescent="0.3">
      <c r="A42" s="21" t="s">
        <v>48</v>
      </c>
      <c r="B42" s="188"/>
      <c r="C42" s="154"/>
      <c r="D42" s="154"/>
      <c r="E42" s="163"/>
      <c r="F42" s="6"/>
      <c r="G42" s="5"/>
      <c r="H42" s="6"/>
      <c r="I42" s="6" t="e">
        <f>+BUDGET[[#This Row],[Total Cost CHF]]/BUDGET[[#This Row],[Quantity]]</f>
        <v>#DIV/0!</v>
      </c>
      <c r="J42" s="6">
        <f>+BUDGET[[#This Row],[Quantity]]*BUDGET[[#This Row],[Unit
Cost LC]]</f>
        <v>0</v>
      </c>
      <c r="K42" s="6">
        <f>ROUND(+BUDGET[[#This Row],[Total Cost LC]]*RATE,2)</f>
        <v>0</v>
      </c>
      <c r="L42" s="184"/>
    </row>
    <row r="43" spans="1:12" s="32" customFormat="1" outlineLevel="2" x14ac:dyDescent="0.3">
      <c r="A43" s="5" t="s">
        <v>48</v>
      </c>
      <c r="B43" s="188"/>
      <c r="C43" s="154"/>
      <c r="D43" s="154"/>
      <c r="E43" s="163"/>
      <c r="F43" s="6"/>
      <c r="G43" s="5"/>
      <c r="H43" s="6"/>
      <c r="I43" s="6" t="e">
        <f>+BUDGET[[#This Row],[Total Cost CHF]]/BUDGET[[#This Row],[Quantity]]</f>
        <v>#DIV/0!</v>
      </c>
      <c r="J43" s="6">
        <f>+BUDGET[[#This Row],[Quantity]]*BUDGET[[#This Row],[Unit
Cost LC]]</f>
        <v>0</v>
      </c>
      <c r="K43" s="6">
        <f>ROUND(+BUDGET[[#This Row],[Total Cost LC]]*RATE,2)</f>
        <v>0</v>
      </c>
      <c r="L43" s="184"/>
    </row>
    <row r="44" spans="1:12" s="32" customFormat="1" outlineLevel="2" x14ac:dyDescent="0.3">
      <c r="A44" s="5" t="s">
        <v>48</v>
      </c>
      <c r="B44" s="188"/>
      <c r="C44" s="154"/>
      <c r="D44" s="154"/>
      <c r="E44" s="154"/>
      <c r="F44" s="6"/>
      <c r="G44" s="5"/>
      <c r="H44" s="6"/>
      <c r="I44" s="6" t="e">
        <f>+BUDGET[[#This Row],[Total Cost CHF]]/BUDGET[[#This Row],[Quantity]]</f>
        <v>#DIV/0!</v>
      </c>
      <c r="J44" s="6">
        <f>+BUDGET[[#This Row],[Quantity]]*BUDGET[[#This Row],[Unit
Cost LC]]</f>
        <v>0</v>
      </c>
      <c r="K44" s="6">
        <f>ROUND(+BUDGET[[#This Row],[Total Cost LC]]*RATE,2)</f>
        <v>0</v>
      </c>
      <c r="L44" s="184"/>
    </row>
    <row r="45" spans="1:12" s="32" customFormat="1" outlineLevel="2" x14ac:dyDescent="0.3">
      <c r="A45" s="5" t="s">
        <v>48</v>
      </c>
      <c r="B45" s="188"/>
      <c r="C45" s="154"/>
      <c r="D45" s="154"/>
      <c r="E45" s="163"/>
      <c r="F45" s="6"/>
      <c r="G45" s="5"/>
      <c r="H45" s="6"/>
      <c r="I45" s="6" t="e">
        <f>+BUDGET[[#This Row],[Total Cost CHF]]/BUDGET[[#This Row],[Quantity]]</f>
        <v>#DIV/0!</v>
      </c>
      <c r="J45" s="6">
        <f>+BUDGET[[#This Row],[Quantity]]*BUDGET[[#This Row],[Unit
Cost LC]]</f>
        <v>0</v>
      </c>
      <c r="K45" s="6">
        <f>ROUND(+BUDGET[[#This Row],[Total Cost LC]]*RATE,2)</f>
        <v>0</v>
      </c>
      <c r="L45" s="184"/>
    </row>
    <row r="46" spans="1:12" s="32" customFormat="1" outlineLevel="2" x14ac:dyDescent="0.3">
      <c r="A46" s="5" t="s">
        <v>48</v>
      </c>
      <c r="B46" s="188"/>
      <c r="C46" s="154"/>
      <c r="D46" s="154"/>
      <c r="E46" s="163"/>
      <c r="F46" s="6"/>
      <c r="G46" s="5"/>
      <c r="H46" s="6"/>
      <c r="I46" s="6" t="e">
        <f>+BUDGET[[#This Row],[Total Cost CHF]]/BUDGET[[#This Row],[Quantity]]</f>
        <v>#DIV/0!</v>
      </c>
      <c r="J46" s="6">
        <f>+BUDGET[[#This Row],[Quantity]]*BUDGET[[#This Row],[Unit
Cost LC]]</f>
        <v>0</v>
      </c>
      <c r="K46" s="6">
        <f>ROUND(+BUDGET[[#This Row],[Total Cost LC]]*RATE,2)</f>
        <v>0</v>
      </c>
      <c r="L46" s="184"/>
    </row>
    <row r="47" spans="1:12" s="32" customFormat="1" outlineLevel="1" x14ac:dyDescent="0.3">
      <c r="A47" s="91" t="s">
        <v>49</v>
      </c>
      <c r="B47" s="91" t="s">
        <v>50</v>
      </c>
      <c r="C47" s="91"/>
      <c r="D47" s="91"/>
      <c r="E47" s="164"/>
      <c r="F47" s="96"/>
      <c r="G47" s="91"/>
      <c r="H47" s="92" t="s">
        <v>48</v>
      </c>
      <c r="I47" s="92" t="e">
        <f>+BUDGET[[#This Row],[Total Cost CHF]]/BUDGET[[#This Row],[Quantity]]</f>
        <v>#DIV/0!</v>
      </c>
      <c r="J47" s="93">
        <f>SUMIFS(BUDGET[Total Cost LC],BUDGET[Output
Code],BUDGET[[#This Row],[Unit
Cost LC]])</f>
        <v>0</v>
      </c>
      <c r="K47" s="93">
        <f>ROUND(+BUDGET[[#This Row],[Total Cost LC]]*RATE,2)</f>
        <v>0</v>
      </c>
      <c r="L47" s="185"/>
    </row>
    <row r="48" spans="1:12" s="32" customFormat="1" x14ac:dyDescent="0.3">
      <c r="A48" s="94" t="s">
        <v>51</v>
      </c>
      <c r="B48" s="94" t="s">
        <v>52</v>
      </c>
      <c r="C48" s="170"/>
      <c r="D48" s="170"/>
      <c r="E48" s="170"/>
      <c r="F48" s="95"/>
      <c r="G48" s="94"/>
      <c r="H48" s="97"/>
      <c r="I48" s="97" t="e">
        <f>+BUDGET[[#This Row],[Total Cost CHF]]/BUDGET[[#This Row],[Quantity]]</f>
        <v>#DIV/0!</v>
      </c>
      <c r="J48" s="203">
        <f>+J35+J41+J47</f>
        <v>0</v>
      </c>
      <c r="K48" s="203">
        <f>ROUND(+BUDGET[[#This Row],[Total Cost LC]]*RATE,2)</f>
        <v>0</v>
      </c>
      <c r="L48" s="186"/>
    </row>
    <row r="49" spans="1:12" s="32" customFormat="1" outlineLevel="2" x14ac:dyDescent="0.3">
      <c r="A49" s="21" t="s">
        <v>53</v>
      </c>
      <c r="B49" s="188"/>
      <c r="C49" s="154"/>
      <c r="D49" s="154"/>
      <c r="E49" s="154"/>
      <c r="F49" s="6"/>
      <c r="G49" s="5"/>
      <c r="H49" s="6"/>
      <c r="I49" s="6" t="e">
        <f>+BUDGET[[#This Row],[Total Cost CHF]]/BUDGET[[#This Row],[Quantity]]</f>
        <v>#DIV/0!</v>
      </c>
      <c r="J49" s="6">
        <f>+BUDGET[[#This Row],[Quantity]]*BUDGET[[#This Row],[Unit
Cost LC]]</f>
        <v>0</v>
      </c>
      <c r="K49" s="6">
        <f>ROUND(+BUDGET[[#This Row],[Total Cost LC]]*RATE,2)</f>
        <v>0</v>
      </c>
      <c r="L49" s="184"/>
    </row>
    <row r="50" spans="1:12" s="32" customFormat="1" outlineLevel="2" x14ac:dyDescent="0.3">
      <c r="A50" s="5" t="s">
        <v>53</v>
      </c>
      <c r="B50" s="188"/>
      <c r="C50" s="154"/>
      <c r="D50" s="154"/>
      <c r="E50" s="154"/>
      <c r="F50" s="6"/>
      <c r="G50" s="5"/>
      <c r="H50" s="6"/>
      <c r="I50" s="6" t="e">
        <f>+BUDGET[[#This Row],[Total Cost CHF]]/BUDGET[[#This Row],[Quantity]]</f>
        <v>#DIV/0!</v>
      </c>
      <c r="J50" s="6">
        <f>+BUDGET[[#This Row],[Quantity]]*BUDGET[[#This Row],[Unit
Cost LC]]</f>
        <v>0</v>
      </c>
      <c r="K50" s="6">
        <f>ROUND(+BUDGET[[#This Row],[Total Cost LC]]*RATE,2)</f>
        <v>0</v>
      </c>
      <c r="L50" s="184"/>
    </row>
    <row r="51" spans="1:12" s="32" customFormat="1" outlineLevel="2" x14ac:dyDescent="0.3">
      <c r="A51" s="5" t="s">
        <v>53</v>
      </c>
      <c r="B51" s="188"/>
      <c r="C51" s="154"/>
      <c r="D51" s="154"/>
      <c r="E51" s="154"/>
      <c r="F51" s="6"/>
      <c r="G51" s="5"/>
      <c r="H51" s="6"/>
      <c r="I51" s="6" t="e">
        <f>+BUDGET[[#This Row],[Total Cost CHF]]/BUDGET[[#This Row],[Quantity]]</f>
        <v>#DIV/0!</v>
      </c>
      <c r="J51" s="6">
        <f>+BUDGET[[#This Row],[Quantity]]*BUDGET[[#This Row],[Unit
Cost LC]]</f>
        <v>0</v>
      </c>
      <c r="K51" s="6">
        <f>ROUND(+BUDGET[[#This Row],[Total Cost LC]]*RATE,2)</f>
        <v>0</v>
      </c>
      <c r="L51" s="184"/>
    </row>
    <row r="52" spans="1:12" s="32" customFormat="1" outlineLevel="2" x14ac:dyDescent="0.3">
      <c r="A52" s="5" t="s">
        <v>53</v>
      </c>
      <c r="B52" s="188"/>
      <c r="C52" s="154"/>
      <c r="D52" s="154"/>
      <c r="E52" s="154"/>
      <c r="F52" s="6"/>
      <c r="G52" s="5"/>
      <c r="H52" s="6"/>
      <c r="I52" s="6" t="e">
        <f>+BUDGET[[#This Row],[Total Cost CHF]]/BUDGET[[#This Row],[Quantity]]</f>
        <v>#DIV/0!</v>
      </c>
      <c r="J52" s="6">
        <f>+BUDGET[[#This Row],[Quantity]]*BUDGET[[#This Row],[Unit
Cost LC]]</f>
        <v>0</v>
      </c>
      <c r="K52" s="6">
        <f>ROUND(+BUDGET[[#This Row],[Total Cost LC]]*RATE,2)</f>
        <v>0</v>
      </c>
      <c r="L52" s="184"/>
    </row>
    <row r="53" spans="1:12" s="32" customFormat="1" outlineLevel="2" x14ac:dyDescent="0.3">
      <c r="A53" s="5" t="s">
        <v>53</v>
      </c>
      <c r="B53" s="188"/>
      <c r="C53" s="154"/>
      <c r="D53" s="154"/>
      <c r="E53" s="154"/>
      <c r="F53" s="6"/>
      <c r="G53" s="5"/>
      <c r="H53" s="6"/>
      <c r="I53" s="6" t="e">
        <f>+BUDGET[[#This Row],[Total Cost CHF]]/BUDGET[[#This Row],[Quantity]]</f>
        <v>#DIV/0!</v>
      </c>
      <c r="J53" s="6">
        <f>+BUDGET[[#This Row],[Quantity]]*BUDGET[[#This Row],[Unit
Cost LC]]</f>
        <v>0</v>
      </c>
      <c r="K53" s="6">
        <f>ROUND(+BUDGET[[#This Row],[Total Cost LC]]*RATE,2)</f>
        <v>0</v>
      </c>
      <c r="L53" s="184"/>
    </row>
    <row r="54" spans="1:12" s="32" customFormat="1" outlineLevel="1" x14ac:dyDescent="0.3">
      <c r="A54" s="91" t="s">
        <v>54</v>
      </c>
      <c r="B54" s="91" t="s">
        <v>55</v>
      </c>
      <c r="C54" s="169"/>
      <c r="D54" s="169"/>
      <c r="E54" s="169"/>
      <c r="F54" s="96"/>
      <c r="G54" s="91"/>
      <c r="H54" s="92" t="s">
        <v>53</v>
      </c>
      <c r="I54" s="92" t="e">
        <f>+BUDGET[[#This Row],[Total Cost CHF]]/BUDGET[[#This Row],[Quantity]]</f>
        <v>#DIV/0!</v>
      </c>
      <c r="J54" s="93">
        <f>SUMIFS(BUDGET[Total Cost LC],BUDGET[Output
Code],BUDGET[[#This Row],[Unit
Cost LC]])</f>
        <v>0</v>
      </c>
      <c r="K54" s="93">
        <f>ROUND(+BUDGET[[#This Row],[Total Cost LC]]*RATE,2)</f>
        <v>0</v>
      </c>
      <c r="L54" s="185"/>
    </row>
    <row r="55" spans="1:12" s="32" customFormat="1" outlineLevel="2" x14ac:dyDescent="0.3">
      <c r="A55" s="21" t="s">
        <v>56</v>
      </c>
      <c r="B55" s="188"/>
      <c r="C55" s="154"/>
      <c r="D55" s="154"/>
      <c r="E55" s="163"/>
      <c r="F55" s="6"/>
      <c r="G55" s="5"/>
      <c r="H55" s="6"/>
      <c r="I55" s="6" t="e">
        <f>+BUDGET[[#This Row],[Total Cost CHF]]/BUDGET[[#This Row],[Quantity]]</f>
        <v>#DIV/0!</v>
      </c>
      <c r="J55" s="6">
        <f>+BUDGET[[#This Row],[Quantity]]*BUDGET[[#This Row],[Unit
Cost LC]]</f>
        <v>0</v>
      </c>
      <c r="K55" s="6">
        <f>ROUND(+BUDGET[[#This Row],[Total Cost LC]]*RATE,2)</f>
        <v>0</v>
      </c>
      <c r="L55" s="184"/>
    </row>
    <row r="56" spans="1:12" s="32" customFormat="1" outlineLevel="2" x14ac:dyDescent="0.3">
      <c r="A56" s="5" t="s">
        <v>56</v>
      </c>
      <c r="B56" s="188"/>
      <c r="C56" s="154"/>
      <c r="D56" s="154"/>
      <c r="E56" s="163"/>
      <c r="F56" s="6"/>
      <c r="G56" s="5"/>
      <c r="H56" s="6"/>
      <c r="I56" s="6" t="e">
        <f>+BUDGET[[#This Row],[Total Cost CHF]]/BUDGET[[#This Row],[Quantity]]</f>
        <v>#DIV/0!</v>
      </c>
      <c r="J56" s="6">
        <f>+BUDGET[[#This Row],[Quantity]]*BUDGET[[#This Row],[Unit
Cost LC]]</f>
        <v>0</v>
      </c>
      <c r="K56" s="6">
        <f>ROUND(+BUDGET[[#This Row],[Total Cost LC]]*RATE,2)</f>
        <v>0</v>
      </c>
      <c r="L56" s="184"/>
    </row>
    <row r="57" spans="1:12" s="32" customFormat="1" outlineLevel="2" x14ac:dyDescent="0.3">
      <c r="A57" s="5" t="s">
        <v>56</v>
      </c>
      <c r="B57" s="188"/>
      <c r="C57" s="154"/>
      <c r="D57" s="154"/>
      <c r="E57" s="154"/>
      <c r="F57" s="6"/>
      <c r="G57" s="5"/>
      <c r="H57" s="6"/>
      <c r="I57" s="6" t="e">
        <f>+BUDGET[[#This Row],[Total Cost CHF]]/BUDGET[[#This Row],[Quantity]]</f>
        <v>#DIV/0!</v>
      </c>
      <c r="J57" s="6">
        <f>+BUDGET[[#This Row],[Quantity]]*BUDGET[[#This Row],[Unit
Cost LC]]</f>
        <v>0</v>
      </c>
      <c r="K57" s="6">
        <f>ROUND(+BUDGET[[#This Row],[Total Cost LC]]*RATE,2)</f>
        <v>0</v>
      </c>
      <c r="L57" s="184"/>
    </row>
    <row r="58" spans="1:12" s="32" customFormat="1" outlineLevel="2" x14ac:dyDescent="0.3">
      <c r="A58" s="5" t="s">
        <v>56</v>
      </c>
      <c r="B58" s="188"/>
      <c r="C58" s="154"/>
      <c r="D58" s="154"/>
      <c r="E58" s="163"/>
      <c r="F58" s="6"/>
      <c r="G58" s="5"/>
      <c r="H58" s="6"/>
      <c r="I58" s="6" t="e">
        <f>+BUDGET[[#This Row],[Total Cost CHF]]/BUDGET[[#This Row],[Quantity]]</f>
        <v>#DIV/0!</v>
      </c>
      <c r="J58" s="6">
        <f>+BUDGET[[#This Row],[Quantity]]*BUDGET[[#This Row],[Unit
Cost LC]]</f>
        <v>0</v>
      </c>
      <c r="K58" s="6">
        <f>ROUND(+BUDGET[[#This Row],[Total Cost LC]]*RATE,2)</f>
        <v>0</v>
      </c>
      <c r="L58" s="184"/>
    </row>
    <row r="59" spans="1:12" s="32" customFormat="1" outlineLevel="2" x14ac:dyDescent="0.3">
      <c r="A59" s="5" t="s">
        <v>56</v>
      </c>
      <c r="B59" s="188"/>
      <c r="C59" s="154"/>
      <c r="D59" s="154"/>
      <c r="E59" s="163"/>
      <c r="F59" s="6"/>
      <c r="G59" s="5"/>
      <c r="H59" s="6"/>
      <c r="I59" s="6" t="e">
        <f>+BUDGET[[#This Row],[Total Cost CHF]]/BUDGET[[#This Row],[Quantity]]</f>
        <v>#DIV/0!</v>
      </c>
      <c r="J59" s="6">
        <f>+BUDGET[[#This Row],[Quantity]]*BUDGET[[#This Row],[Unit
Cost LC]]</f>
        <v>0</v>
      </c>
      <c r="K59" s="6">
        <f>ROUND(+BUDGET[[#This Row],[Total Cost LC]]*RATE,2)</f>
        <v>0</v>
      </c>
      <c r="L59" s="184"/>
    </row>
    <row r="60" spans="1:12" s="32" customFormat="1" outlineLevel="1" x14ac:dyDescent="0.3">
      <c r="A60" s="91" t="s">
        <v>57</v>
      </c>
      <c r="B60" s="91" t="s">
        <v>58</v>
      </c>
      <c r="C60" s="91"/>
      <c r="D60" s="91"/>
      <c r="E60" s="164"/>
      <c r="F60" s="96"/>
      <c r="G60" s="91"/>
      <c r="H60" s="92" t="s">
        <v>56</v>
      </c>
      <c r="I60" s="92" t="e">
        <f>+BUDGET[[#This Row],[Total Cost CHF]]/BUDGET[[#This Row],[Quantity]]</f>
        <v>#DIV/0!</v>
      </c>
      <c r="J60" s="93">
        <f>SUMIFS(BUDGET[Total Cost LC],BUDGET[Output
Code],BUDGET[[#This Row],[Unit
Cost LC]])</f>
        <v>0</v>
      </c>
      <c r="K60" s="93">
        <f>ROUND(+BUDGET[[#This Row],[Total Cost LC]]*RATE,2)</f>
        <v>0</v>
      </c>
      <c r="L60" s="185"/>
    </row>
    <row r="61" spans="1:12" s="32" customFormat="1" x14ac:dyDescent="0.3">
      <c r="A61" s="94" t="s">
        <v>59</v>
      </c>
      <c r="B61" s="94" t="s">
        <v>60</v>
      </c>
      <c r="C61" s="170"/>
      <c r="D61" s="170"/>
      <c r="E61" s="170"/>
      <c r="F61" s="95"/>
      <c r="G61" s="94"/>
      <c r="H61" s="97"/>
      <c r="I61" s="97" t="e">
        <f>+BUDGET[[#This Row],[Total Cost CHF]]/BUDGET[[#This Row],[Quantity]]</f>
        <v>#DIV/0!</v>
      </c>
      <c r="J61" s="203">
        <f>+J54+J60</f>
        <v>0</v>
      </c>
      <c r="K61" s="203">
        <f>ROUND(+BUDGET[[#This Row],[Total Cost LC]]*RATE,2)</f>
        <v>0</v>
      </c>
      <c r="L61" s="186"/>
    </row>
    <row r="62" spans="1:12" s="32" customFormat="1" outlineLevel="2" x14ac:dyDescent="0.3">
      <c r="A62" s="21" t="s">
        <v>61</v>
      </c>
      <c r="B62" s="188"/>
      <c r="C62" s="154"/>
      <c r="D62" s="154"/>
      <c r="E62" s="163"/>
      <c r="F62" s="6"/>
      <c r="G62" s="5"/>
      <c r="H62" s="6"/>
      <c r="I62" s="6" t="e">
        <f>+BUDGET[[#This Row],[Total Cost CHF]]/BUDGET[[#This Row],[Quantity]]</f>
        <v>#DIV/0!</v>
      </c>
      <c r="J62" s="6">
        <f>+BUDGET[[#This Row],[Quantity]]*BUDGET[[#This Row],[Unit
Cost LC]]</f>
        <v>0</v>
      </c>
      <c r="K62" s="6">
        <f>ROUND(+BUDGET[[#This Row],[Total Cost LC]]*RATE,2)</f>
        <v>0</v>
      </c>
      <c r="L62" s="184"/>
    </row>
    <row r="63" spans="1:12" s="32" customFormat="1" outlineLevel="2" x14ac:dyDescent="0.3">
      <c r="A63" s="5" t="s">
        <v>61</v>
      </c>
      <c r="B63" s="188"/>
      <c r="C63" s="154"/>
      <c r="D63" s="154"/>
      <c r="E63" s="163"/>
      <c r="F63" s="6"/>
      <c r="G63" s="5"/>
      <c r="H63" s="6"/>
      <c r="I63" s="6" t="e">
        <f>+BUDGET[[#This Row],[Total Cost CHF]]/BUDGET[[#This Row],[Quantity]]</f>
        <v>#DIV/0!</v>
      </c>
      <c r="J63" s="6">
        <f>+BUDGET[[#This Row],[Quantity]]*BUDGET[[#This Row],[Unit
Cost LC]]</f>
        <v>0</v>
      </c>
      <c r="K63" s="6">
        <f>ROUND(+BUDGET[[#This Row],[Total Cost LC]]*RATE,2)</f>
        <v>0</v>
      </c>
      <c r="L63" s="184"/>
    </row>
    <row r="64" spans="1:12" s="32" customFormat="1" outlineLevel="2" x14ac:dyDescent="0.3">
      <c r="A64" s="5" t="s">
        <v>61</v>
      </c>
      <c r="B64" s="188"/>
      <c r="C64" s="154"/>
      <c r="D64" s="154"/>
      <c r="E64" s="154"/>
      <c r="F64" s="6"/>
      <c r="G64" s="5"/>
      <c r="H64" s="6"/>
      <c r="I64" s="6" t="e">
        <f>+BUDGET[[#This Row],[Total Cost CHF]]/BUDGET[[#This Row],[Quantity]]</f>
        <v>#DIV/0!</v>
      </c>
      <c r="J64" s="6">
        <f>+BUDGET[[#This Row],[Quantity]]*BUDGET[[#This Row],[Unit
Cost LC]]</f>
        <v>0</v>
      </c>
      <c r="K64" s="6">
        <f>ROUND(+BUDGET[[#This Row],[Total Cost LC]]*RATE,2)</f>
        <v>0</v>
      </c>
      <c r="L64" s="184"/>
    </row>
    <row r="65" spans="1:12" s="32" customFormat="1" outlineLevel="2" x14ac:dyDescent="0.3">
      <c r="A65" s="5" t="s">
        <v>61</v>
      </c>
      <c r="B65" s="188"/>
      <c r="C65" s="154"/>
      <c r="D65" s="154"/>
      <c r="E65" s="163"/>
      <c r="F65" s="6"/>
      <c r="G65" s="5"/>
      <c r="H65" s="6"/>
      <c r="I65" s="6" t="e">
        <f>+BUDGET[[#This Row],[Total Cost CHF]]/BUDGET[[#This Row],[Quantity]]</f>
        <v>#DIV/0!</v>
      </c>
      <c r="J65" s="6">
        <f>+BUDGET[[#This Row],[Quantity]]*BUDGET[[#This Row],[Unit
Cost LC]]</f>
        <v>0</v>
      </c>
      <c r="K65" s="6">
        <f>ROUND(+BUDGET[[#This Row],[Total Cost LC]]*RATE,2)</f>
        <v>0</v>
      </c>
      <c r="L65" s="184"/>
    </row>
    <row r="66" spans="1:12" s="32" customFormat="1" outlineLevel="2" x14ac:dyDescent="0.3">
      <c r="A66" s="5" t="s">
        <v>61</v>
      </c>
      <c r="B66" s="188"/>
      <c r="C66" s="154"/>
      <c r="D66" s="154"/>
      <c r="E66" s="163"/>
      <c r="F66" s="6"/>
      <c r="G66" s="5"/>
      <c r="H66" s="6"/>
      <c r="I66" s="6" t="e">
        <f>+BUDGET[[#This Row],[Total Cost CHF]]/BUDGET[[#This Row],[Quantity]]</f>
        <v>#DIV/0!</v>
      </c>
      <c r="J66" s="6">
        <f>+BUDGET[[#This Row],[Quantity]]*BUDGET[[#This Row],[Unit
Cost LC]]</f>
        <v>0</v>
      </c>
      <c r="K66" s="6">
        <f>ROUND(+BUDGET[[#This Row],[Total Cost LC]]*RATE,2)</f>
        <v>0</v>
      </c>
      <c r="L66" s="184"/>
    </row>
    <row r="67" spans="1:12" s="32" customFormat="1" outlineLevel="1" x14ac:dyDescent="0.3">
      <c r="A67" s="91" t="s">
        <v>62</v>
      </c>
      <c r="B67" s="91" t="s">
        <v>63</v>
      </c>
      <c r="C67" s="91"/>
      <c r="D67" s="91"/>
      <c r="E67" s="164"/>
      <c r="F67" s="96"/>
      <c r="G67" s="91"/>
      <c r="H67" s="92" t="s">
        <v>61</v>
      </c>
      <c r="I67" s="92" t="e">
        <f>+BUDGET[[#This Row],[Total Cost CHF]]/BUDGET[[#This Row],[Quantity]]</f>
        <v>#DIV/0!</v>
      </c>
      <c r="J67" s="93">
        <f>SUMIFS(BUDGET[Total Cost LC],BUDGET[Output
Code],BUDGET[[#This Row],[Unit
Cost LC]])</f>
        <v>0</v>
      </c>
      <c r="K67" s="93">
        <f>ROUND(+BUDGET[[#This Row],[Total Cost LC]]*RATE,2)</f>
        <v>0</v>
      </c>
      <c r="L67" s="185"/>
    </row>
    <row r="68" spans="1:12" s="32" customFormat="1" outlineLevel="2" x14ac:dyDescent="0.3">
      <c r="A68" s="21" t="s">
        <v>64</v>
      </c>
      <c r="B68" s="188"/>
      <c r="C68" s="154"/>
      <c r="D68" s="154"/>
      <c r="E68" s="154"/>
      <c r="F68" s="6"/>
      <c r="G68" s="5"/>
      <c r="H68" s="6"/>
      <c r="I68" s="6" t="e">
        <f>+BUDGET[[#This Row],[Total Cost CHF]]/BUDGET[[#This Row],[Quantity]]</f>
        <v>#DIV/0!</v>
      </c>
      <c r="J68" s="6">
        <f>+BUDGET[[#This Row],[Quantity]]*BUDGET[[#This Row],[Unit
Cost LC]]</f>
        <v>0</v>
      </c>
      <c r="K68" s="6">
        <f>ROUND(+BUDGET[[#This Row],[Total Cost LC]]*RATE,2)</f>
        <v>0</v>
      </c>
      <c r="L68" s="184"/>
    </row>
    <row r="69" spans="1:12" s="32" customFormat="1" outlineLevel="2" x14ac:dyDescent="0.3">
      <c r="A69" s="5" t="s">
        <v>64</v>
      </c>
      <c r="B69" s="188"/>
      <c r="C69" s="154"/>
      <c r="D69" s="154"/>
      <c r="E69" s="154"/>
      <c r="F69" s="6"/>
      <c r="G69" s="5"/>
      <c r="H69" s="6"/>
      <c r="I69" s="6" t="e">
        <f>+BUDGET[[#This Row],[Total Cost CHF]]/BUDGET[[#This Row],[Quantity]]</f>
        <v>#DIV/0!</v>
      </c>
      <c r="J69" s="6">
        <f>+BUDGET[[#This Row],[Quantity]]*BUDGET[[#This Row],[Unit
Cost LC]]</f>
        <v>0</v>
      </c>
      <c r="K69" s="6">
        <f>ROUND(+BUDGET[[#This Row],[Total Cost LC]]*RATE,2)</f>
        <v>0</v>
      </c>
      <c r="L69" s="184"/>
    </row>
    <row r="70" spans="1:12" s="32" customFormat="1" outlineLevel="2" x14ac:dyDescent="0.3">
      <c r="A70" s="5" t="s">
        <v>64</v>
      </c>
      <c r="B70" s="188"/>
      <c r="C70" s="154"/>
      <c r="D70" s="154"/>
      <c r="E70" s="154"/>
      <c r="F70" s="6"/>
      <c r="G70" s="5"/>
      <c r="H70" s="6"/>
      <c r="I70" s="6" t="e">
        <f>+BUDGET[[#This Row],[Total Cost CHF]]/BUDGET[[#This Row],[Quantity]]</f>
        <v>#DIV/0!</v>
      </c>
      <c r="J70" s="6">
        <f>+BUDGET[[#This Row],[Quantity]]*BUDGET[[#This Row],[Unit
Cost LC]]</f>
        <v>0</v>
      </c>
      <c r="K70" s="6">
        <f>ROUND(+BUDGET[[#This Row],[Total Cost LC]]*RATE,2)</f>
        <v>0</v>
      </c>
      <c r="L70" s="184"/>
    </row>
    <row r="71" spans="1:12" s="32" customFormat="1" outlineLevel="2" x14ac:dyDescent="0.3">
      <c r="A71" s="5" t="s">
        <v>64</v>
      </c>
      <c r="B71" s="188"/>
      <c r="C71" s="154"/>
      <c r="D71" s="154"/>
      <c r="E71" s="163"/>
      <c r="F71" s="6"/>
      <c r="G71" s="5"/>
      <c r="H71" s="6"/>
      <c r="I71" s="6" t="e">
        <f>+BUDGET[[#This Row],[Total Cost CHF]]/BUDGET[[#This Row],[Quantity]]</f>
        <v>#DIV/0!</v>
      </c>
      <c r="J71" s="6">
        <f>+BUDGET[[#This Row],[Quantity]]*BUDGET[[#This Row],[Unit
Cost LC]]</f>
        <v>0</v>
      </c>
      <c r="K71" s="6">
        <f>ROUND(+BUDGET[[#This Row],[Total Cost LC]]*RATE,2)</f>
        <v>0</v>
      </c>
      <c r="L71" s="184"/>
    </row>
    <row r="72" spans="1:12" s="32" customFormat="1" outlineLevel="2" x14ac:dyDescent="0.3">
      <c r="A72" s="5" t="s">
        <v>64</v>
      </c>
      <c r="B72" s="188"/>
      <c r="C72" s="154"/>
      <c r="D72" s="154"/>
      <c r="E72" s="163"/>
      <c r="F72" s="6"/>
      <c r="G72" s="5"/>
      <c r="H72" s="6"/>
      <c r="I72" s="6" t="e">
        <f>+BUDGET[[#This Row],[Total Cost CHF]]/BUDGET[[#This Row],[Quantity]]</f>
        <v>#DIV/0!</v>
      </c>
      <c r="J72" s="6">
        <f>+BUDGET[[#This Row],[Quantity]]*BUDGET[[#This Row],[Unit
Cost LC]]</f>
        <v>0</v>
      </c>
      <c r="K72" s="6">
        <f>ROUND(+BUDGET[[#This Row],[Total Cost LC]]*RATE,2)</f>
        <v>0</v>
      </c>
      <c r="L72" s="184"/>
    </row>
    <row r="73" spans="1:12" s="32" customFormat="1" outlineLevel="1" x14ac:dyDescent="0.3">
      <c r="A73" s="91" t="s">
        <v>65</v>
      </c>
      <c r="B73" s="91" t="s">
        <v>66</v>
      </c>
      <c r="C73" s="169"/>
      <c r="D73" s="169"/>
      <c r="E73" s="169"/>
      <c r="F73" s="96"/>
      <c r="G73" s="91"/>
      <c r="H73" s="92" t="s">
        <v>64</v>
      </c>
      <c r="I73" s="92" t="e">
        <f>+BUDGET[[#This Row],[Total Cost CHF]]/BUDGET[[#This Row],[Quantity]]</f>
        <v>#DIV/0!</v>
      </c>
      <c r="J73" s="93">
        <f>SUMIFS(BUDGET[Total Cost LC],BUDGET[Output
Code],BUDGET[[#This Row],[Unit
Cost LC]])</f>
        <v>0</v>
      </c>
      <c r="K73" s="93">
        <f>ROUND(+BUDGET[[#This Row],[Total Cost LC]]*RATE,2)</f>
        <v>0</v>
      </c>
      <c r="L73" s="185"/>
    </row>
    <row r="74" spans="1:12" s="32" customFormat="1" outlineLevel="2" x14ac:dyDescent="0.3">
      <c r="A74" s="21" t="s">
        <v>67</v>
      </c>
      <c r="B74" s="188"/>
      <c r="C74" s="154"/>
      <c r="D74" s="154"/>
      <c r="E74" s="163"/>
      <c r="F74" s="6"/>
      <c r="G74" s="5"/>
      <c r="H74" s="6"/>
      <c r="I74" s="6" t="e">
        <f>+BUDGET[[#This Row],[Total Cost CHF]]/BUDGET[[#This Row],[Quantity]]</f>
        <v>#DIV/0!</v>
      </c>
      <c r="J74" s="6">
        <f>+BUDGET[[#This Row],[Quantity]]*BUDGET[[#This Row],[Unit
Cost LC]]</f>
        <v>0</v>
      </c>
      <c r="K74" s="6">
        <f>ROUND(+BUDGET[[#This Row],[Total Cost LC]]*RATE,2)</f>
        <v>0</v>
      </c>
      <c r="L74" s="184"/>
    </row>
    <row r="75" spans="1:12" s="32" customFormat="1" outlineLevel="2" x14ac:dyDescent="0.3">
      <c r="A75" s="5" t="s">
        <v>67</v>
      </c>
      <c r="B75" s="188"/>
      <c r="C75" s="154"/>
      <c r="D75" s="154"/>
      <c r="E75" s="154"/>
      <c r="F75" s="6"/>
      <c r="G75" s="5"/>
      <c r="H75" s="6"/>
      <c r="I75" s="6" t="e">
        <f>+BUDGET[[#This Row],[Total Cost CHF]]/BUDGET[[#This Row],[Quantity]]</f>
        <v>#DIV/0!</v>
      </c>
      <c r="J75" s="6">
        <f>+BUDGET[[#This Row],[Quantity]]*BUDGET[[#This Row],[Unit
Cost LC]]</f>
        <v>0</v>
      </c>
      <c r="K75" s="6">
        <f>ROUND(+BUDGET[[#This Row],[Total Cost LC]]*RATE,2)</f>
        <v>0</v>
      </c>
      <c r="L75" s="184"/>
    </row>
    <row r="76" spans="1:12" s="32" customFormat="1" outlineLevel="2" x14ac:dyDescent="0.3">
      <c r="A76" s="5" t="s">
        <v>67</v>
      </c>
      <c r="B76" s="188"/>
      <c r="C76" s="154"/>
      <c r="D76" s="154"/>
      <c r="E76" s="163"/>
      <c r="F76" s="6"/>
      <c r="G76" s="5"/>
      <c r="H76" s="6"/>
      <c r="I76" s="6" t="e">
        <f>+BUDGET[[#This Row],[Total Cost CHF]]/BUDGET[[#This Row],[Quantity]]</f>
        <v>#DIV/0!</v>
      </c>
      <c r="J76" s="6">
        <f>+BUDGET[[#This Row],[Quantity]]*BUDGET[[#This Row],[Unit
Cost LC]]</f>
        <v>0</v>
      </c>
      <c r="K76" s="6">
        <f>ROUND(+BUDGET[[#This Row],[Total Cost LC]]*RATE,2)</f>
        <v>0</v>
      </c>
      <c r="L76" s="184"/>
    </row>
    <row r="77" spans="1:12" s="32" customFormat="1" outlineLevel="2" x14ac:dyDescent="0.3">
      <c r="A77" s="5" t="s">
        <v>67</v>
      </c>
      <c r="B77" s="188"/>
      <c r="C77" s="154"/>
      <c r="D77" s="154"/>
      <c r="E77" s="163"/>
      <c r="F77" s="6"/>
      <c r="G77" s="5"/>
      <c r="H77" s="6"/>
      <c r="I77" s="6" t="e">
        <f>+BUDGET[[#This Row],[Total Cost CHF]]/BUDGET[[#This Row],[Quantity]]</f>
        <v>#DIV/0!</v>
      </c>
      <c r="J77" s="6">
        <f>+BUDGET[[#This Row],[Quantity]]*BUDGET[[#This Row],[Unit
Cost LC]]</f>
        <v>0</v>
      </c>
      <c r="K77" s="6">
        <f>ROUND(+BUDGET[[#This Row],[Total Cost LC]]*RATE,2)</f>
        <v>0</v>
      </c>
      <c r="L77" s="184"/>
    </row>
    <row r="78" spans="1:12" s="32" customFormat="1" outlineLevel="2" x14ac:dyDescent="0.3">
      <c r="A78" s="5" t="s">
        <v>67</v>
      </c>
      <c r="B78" s="188"/>
      <c r="C78" s="154"/>
      <c r="D78" s="154"/>
      <c r="E78" s="163"/>
      <c r="F78" s="6"/>
      <c r="G78" s="5"/>
      <c r="H78" s="6"/>
      <c r="I78" s="6" t="e">
        <f>+BUDGET[[#This Row],[Total Cost CHF]]/BUDGET[[#This Row],[Quantity]]</f>
        <v>#DIV/0!</v>
      </c>
      <c r="J78" s="6">
        <f>+BUDGET[[#This Row],[Quantity]]*BUDGET[[#This Row],[Unit
Cost LC]]</f>
        <v>0</v>
      </c>
      <c r="K78" s="6">
        <f>ROUND(+BUDGET[[#This Row],[Total Cost LC]]*RATE,2)</f>
        <v>0</v>
      </c>
      <c r="L78" s="184"/>
    </row>
    <row r="79" spans="1:12" s="32" customFormat="1" outlineLevel="1" x14ac:dyDescent="0.3">
      <c r="A79" s="91" t="s">
        <v>68</v>
      </c>
      <c r="B79" s="91" t="s">
        <v>69</v>
      </c>
      <c r="C79" s="91"/>
      <c r="D79" s="91"/>
      <c r="E79" s="164"/>
      <c r="F79" s="96"/>
      <c r="G79" s="91"/>
      <c r="H79" s="92" t="s">
        <v>67</v>
      </c>
      <c r="I79" s="92" t="e">
        <f>+BUDGET[[#This Row],[Total Cost CHF]]/BUDGET[[#This Row],[Quantity]]</f>
        <v>#DIV/0!</v>
      </c>
      <c r="J79" s="93">
        <f>SUMIFS(BUDGET[Total Cost LC],BUDGET[Output
Code],BUDGET[[#This Row],[Unit
Cost LC]])</f>
        <v>0</v>
      </c>
      <c r="K79" s="93">
        <f>ROUND(+BUDGET[[#This Row],[Total Cost LC]]*RATE,2)</f>
        <v>0</v>
      </c>
      <c r="L79" s="185"/>
    </row>
    <row r="80" spans="1:12" s="32" customFormat="1" x14ac:dyDescent="0.3">
      <c r="A80" s="94" t="s">
        <v>70</v>
      </c>
      <c r="B80" s="94" t="s">
        <v>71</v>
      </c>
      <c r="C80" s="170"/>
      <c r="D80" s="170"/>
      <c r="E80" s="170"/>
      <c r="F80" s="95"/>
      <c r="G80" s="94"/>
      <c r="H80" s="97"/>
      <c r="I80" s="97" t="e">
        <f>+BUDGET[[#This Row],[Total Cost CHF]]/BUDGET[[#This Row],[Quantity]]</f>
        <v>#DIV/0!</v>
      </c>
      <c r="J80" s="203">
        <f>+J67+J73+J79</f>
        <v>0</v>
      </c>
      <c r="K80" s="203">
        <f>ROUND(+BUDGET[[#This Row],[Total Cost LC]]*RATE,2)</f>
        <v>0</v>
      </c>
      <c r="L80" s="186"/>
    </row>
    <row r="81" spans="1:12" s="32" customFormat="1" outlineLevel="2" x14ac:dyDescent="0.3">
      <c r="A81" s="21" t="s">
        <v>72</v>
      </c>
      <c r="B81" s="188"/>
      <c r="C81" s="154"/>
      <c r="D81" s="154"/>
      <c r="E81" s="163"/>
      <c r="F81" s="6"/>
      <c r="G81" s="5"/>
      <c r="H81" s="6"/>
      <c r="I81" s="6" t="e">
        <f>+BUDGET[[#This Row],[Total Cost CHF]]/BUDGET[[#This Row],[Quantity]]</f>
        <v>#DIV/0!</v>
      </c>
      <c r="J81" s="6">
        <f>+BUDGET[[#This Row],[Quantity]]*BUDGET[[#This Row],[Unit
Cost LC]]</f>
        <v>0</v>
      </c>
      <c r="K81" s="6">
        <f>ROUND(+BUDGET[[#This Row],[Total Cost LC]]*RATE,2)</f>
        <v>0</v>
      </c>
      <c r="L81" s="184"/>
    </row>
    <row r="82" spans="1:12" s="32" customFormat="1" outlineLevel="2" x14ac:dyDescent="0.3">
      <c r="A82" s="5" t="s">
        <v>72</v>
      </c>
      <c r="B82" s="188"/>
      <c r="C82" s="154"/>
      <c r="D82" s="154"/>
      <c r="E82" s="163"/>
      <c r="F82" s="6"/>
      <c r="G82" s="5"/>
      <c r="H82" s="6"/>
      <c r="I82" s="6" t="e">
        <f>+BUDGET[[#This Row],[Total Cost CHF]]/BUDGET[[#This Row],[Quantity]]</f>
        <v>#DIV/0!</v>
      </c>
      <c r="J82" s="6">
        <f>+BUDGET[[#This Row],[Quantity]]*BUDGET[[#This Row],[Unit
Cost LC]]</f>
        <v>0</v>
      </c>
      <c r="K82" s="6">
        <f>ROUND(+BUDGET[[#This Row],[Total Cost LC]]*RATE,2)</f>
        <v>0</v>
      </c>
      <c r="L82" s="184"/>
    </row>
    <row r="83" spans="1:12" s="32" customFormat="1" outlineLevel="2" x14ac:dyDescent="0.3">
      <c r="A83" s="5" t="s">
        <v>72</v>
      </c>
      <c r="B83" s="188"/>
      <c r="C83" s="154"/>
      <c r="D83" s="154"/>
      <c r="E83" s="154"/>
      <c r="F83" s="6"/>
      <c r="G83" s="5"/>
      <c r="H83" s="6"/>
      <c r="I83" s="6" t="e">
        <f>+BUDGET[[#This Row],[Total Cost CHF]]/BUDGET[[#This Row],[Quantity]]</f>
        <v>#DIV/0!</v>
      </c>
      <c r="J83" s="6">
        <f>+BUDGET[[#This Row],[Quantity]]*BUDGET[[#This Row],[Unit
Cost LC]]</f>
        <v>0</v>
      </c>
      <c r="K83" s="6">
        <f>ROUND(+BUDGET[[#This Row],[Total Cost LC]]*RATE,2)</f>
        <v>0</v>
      </c>
      <c r="L83" s="184"/>
    </row>
    <row r="84" spans="1:12" s="32" customFormat="1" outlineLevel="2" x14ac:dyDescent="0.3">
      <c r="A84" s="5" t="s">
        <v>72</v>
      </c>
      <c r="B84" s="188"/>
      <c r="C84" s="154"/>
      <c r="D84" s="154"/>
      <c r="E84" s="163"/>
      <c r="F84" s="6"/>
      <c r="G84" s="5"/>
      <c r="H84" s="6"/>
      <c r="I84" s="6" t="e">
        <f>+BUDGET[[#This Row],[Total Cost CHF]]/BUDGET[[#This Row],[Quantity]]</f>
        <v>#DIV/0!</v>
      </c>
      <c r="J84" s="6">
        <f>+BUDGET[[#This Row],[Quantity]]*BUDGET[[#This Row],[Unit
Cost LC]]</f>
        <v>0</v>
      </c>
      <c r="K84" s="6">
        <f>ROUND(+BUDGET[[#This Row],[Total Cost LC]]*RATE,2)</f>
        <v>0</v>
      </c>
      <c r="L84" s="184"/>
    </row>
    <row r="85" spans="1:12" s="32" customFormat="1" outlineLevel="2" x14ac:dyDescent="0.3">
      <c r="A85" s="5" t="s">
        <v>72</v>
      </c>
      <c r="B85" s="188"/>
      <c r="C85" s="154"/>
      <c r="D85" s="154"/>
      <c r="E85" s="163"/>
      <c r="F85" s="6"/>
      <c r="G85" s="5"/>
      <c r="H85" s="6"/>
      <c r="I85" s="6" t="e">
        <f>+BUDGET[[#This Row],[Total Cost CHF]]/BUDGET[[#This Row],[Quantity]]</f>
        <v>#DIV/0!</v>
      </c>
      <c r="J85" s="6">
        <f>+BUDGET[[#This Row],[Quantity]]*BUDGET[[#This Row],[Unit
Cost LC]]</f>
        <v>0</v>
      </c>
      <c r="K85" s="6">
        <f>ROUND(+BUDGET[[#This Row],[Total Cost LC]]*RATE,2)</f>
        <v>0</v>
      </c>
      <c r="L85" s="184"/>
    </row>
    <row r="86" spans="1:12" s="32" customFormat="1" outlineLevel="1" x14ac:dyDescent="0.3">
      <c r="A86" s="91" t="s">
        <v>73</v>
      </c>
      <c r="B86" s="91" t="s">
        <v>74</v>
      </c>
      <c r="C86" s="91"/>
      <c r="D86" s="91"/>
      <c r="E86" s="164"/>
      <c r="F86" s="96"/>
      <c r="G86" s="91"/>
      <c r="H86" s="92" t="s">
        <v>72</v>
      </c>
      <c r="I86" s="92" t="e">
        <f>+BUDGET[[#This Row],[Total Cost CHF]]/BUDGET[[#This Row],[Quantity]]</f>
        <v>#DIV/0!</v>
      </c>
      <c r="J86" s="93">
        <f>SUMIFS(BUDGET[Total Cost LC],BUDGET[Output
Code],BUDGET[[#This Row],[Unit
Cost LC]])</f>
        <v>0</v>
      </c>
      <c r="K86" s="93">
        <f>ROUND(+BUDGET[[#This Row],[Total Cost LC]]*RATE,2)</f>
        <v>0</v>
      </c>
      <c r="L86" s="185"/>
    </row>
    <row r="87" spans="1:12" s="32" customFormat="1" x14ac:dyDescent="0.3">
      <c r="A87" s="94" t="s">
        <v>75</v>
      </c>
      <c r="B87" s="94" t="s">
        <v>76</v>
      </c>
      <c r="C87" s="94"/>
      <c r="D87" s="94"/>
      <c r="E87" s="165"/>
      <c r="F87" s="95"/>
      <c r="G87" s="94"/>
      <c r="H87" s="97"/>
      <c r="I87" s="97" t="e">
        <f>+BUDGET[[#This Row],[Total Cost CHF]]/BUDGET[[#This Row],[Quantity]]</f>
        <v>#DIV/0!</v>
      </c>
      <c r="J87" s="203">
        <f>+J86</f>
        <v>0</v>
      </c>
      <c r="K87" s="203">
        <f>ROUND(+BUDGET[[#This Row],[Total Cost LC]]*RATE,2)</f>
        <v>0</v>
      </c>
      <c r="L87" s="186"/>
    </row>
    <row r="88" spans="1:12" s="32" customFormat="1" outlineLevel="2" x14ac:dyDescent="0.3">
      <c r="A88" s="21" t="s">
        <v>77</v>
      </c>
      <c r="B88" s="188"/>
      <c r="C88" s="154"/>
      <c r="D88" s="154"/>
      <c r="E88" s="163"/>
      <c r="F88" s="6"/>
      <c r="G88" s="5"/>
      <c r="H88" s="6"/>
      <c r="I88" s="6" t="e">
        <f>+BUDGET[[#This Row],[Total Cost CHF]]/BUDGET[[#This Row],[Quantity]]</f>
        <v>#DIV/0!</v>
      </c>
      <c r="J88" s="6">
        <f>+BUDGET[[#This Row],[Quantity]]*BUDGET[[#This Row],[Unit
Cost LC]]</f>
        <v>0</v>
      </c>
      <c r="K88" s="6">
        <f>ROUND(+BUDGET[[#This Row],[Total Cost LC]]*RATE,2)</f>
        <v>0</v>
      </c>
      <c r="L88" s="184"/>
    </row>
    <row r="89" spans="1:12" s="32" customFormat="1" outlineLevel="2" x14ac:dyDescent="0.3">
      <c r="A89" s="5" t="s">
        <v>77</v>
      </c>
      <c r="B89" s="188"/>
      <c r="C89" s="154"/>
      <c r="D89" s="154"/>
      <c r="E89" s="154"/>
      <c r="F89" s="6"/>
      <c r="G89" s="5"/>
      <c r="H89" s="6"/>
      <c r="I89" s="6" t="e">
        <f>+BUDGET[[#This Row],[Total Cost CHF]]/BUDGET[[#This Row],[Quantity]]</f>
        <v>#DIV/0!</v>
      </c>
      <c r="J89" s="6">
        <f>+BUDGET[[#This Row],[Quantity]]*BUDGET[[#This Row],[Unit
Cost LC]]</f>
        <v>0</v>
      </c>
      <c r="K89" s="6">
        <f>ROUND(+BUDGET[[#This Row],[Total Cost LC]]*RATE,2)</f>
        <v>0</v>
      </c>
      <c r="L89" s="184"/>
    </row>
    <row r="90" spans="1:12" s="32" customFormat="1" outlineLevel="2" x14ac:dyDescent="0.3">
      <c r="A90" s="5" t="s">
        <v>77</v>
      </c>
      <c r="B90" s="188"/>
      <c r="C90" s="154"/>
      <c r="D90" s="154"/>
      <c r="E90" s="163"/>
      <c r="F90" s="6"/>
      <c r="G90" s="5"/>
      <c r="H90" s="6"/>
      <c r="I90" s="6" t="e">
        <f>+BUDGET[[#This Row],[Total Cost CHF]]/BUDGET[[#This Row],[Quantity]]</f>
        <v>#DIV/0!</v>
      </c>
      <c r="J90" s="6">
        <f>+BUDGET[[#This Row],[Quantity]]*BUDGET[[#This Row],[Unit
Cost LC]]</f>
        <v>0</v>
      </c>
      <c r="K90" s="6">
        <f>ROUND(+BUDGET[[#This Row],[Total Cost LC]]*RATE,2)</f>
        <v>0</v>
      </c>
      <c r="L90" s="184"/>
    </row>
    <row r="91" spans="1:12" s="32" customFormat="1" outlineLevel="2" x14ac:dyDescent="0.3">
      <c r="A91" s="5" t="s">
        <v>77</v>
      </c>
      <c r="B91" s="188"/>
      <c r="C91" s="154"/>
      <c r="D91" s="154"/>
      <c r="E91" s="163"/>
      <c r="F91" s="6"/>
      <c r="G91" s="5"/>
      <c r="H91" s="6"/>
      <c r="I91" s="6" t="e">
        <f>+BUDGET[[#This Row],[Total Cost CHF]]/BUDGET[[#This Row],[Quantity]]</f>
        <v>#DIV/0!</v>
      </c>
      <c r="J91" s="6">
        <f>+BUDGET[[#This Row],[Quantity]]*BUDGET[[#This Row],[Unit
Cost LC]]</f>
        <v>0</v>
      </c>
      <c r="K91" s="6">
        <f>ROUND(+BUDGET[[#This Row],[Total Cost LC]]*RATE,2)</f>
        <v>0</v>
      </c>
      <c r="L91" s="184"/>
    </row>
    <row r="92" spans="1:12" s="32" customFormat="1" outlineLevel="2" x14ac:dyDescent="0.3">
      <c r="A92" s="5" t="s">
        <v>77</v>
      </c>
      <c r="B92" s="188"/>
      <c r="C92" s="154"/>
      <c r="D92" s="154"/>
      <c r="E92" s="163"/>
      <c r="F92" s="6"/>
      <c r="G92" s="5"/>
      <c r="H92" s="6"/>
      <c r="I92" s="6" t="e">
        <f>+BUDGET[[#This Row],[Total Cost CHF]]/BUDGET[[#This Row],[Quantity]]</f>
        <v>#DIV/0!</v>
      </c>
      <c r="J92" s="6">
        <f>+BUDGET[[#This Row],[Quantity]]*BUDGET[[#This Row],[Unit
Cost LC]]</f>
        <v>0</v>
      </c>
      <c r="K92" s="6">
        <f>ROUND(+BUDGET[[#This Row],[Total Cost LC]]*RATE,2)</f>
        <v>0</v>
      </c>
      <c r="L92" s="184"/>
    </row>
    <row r="93" spans="1:12" s="32" customFormat="1" outlineLevel="1" x14ac:dyDescent="0.3">
      <c r="A93" s="91" t="s">
        <v>78</v>
      </c>
      <c r="B93" s="91" t="s">
        <v>79</v>
      </c>
      <c r="C93" s="91"/>
      <c r="D93" s="91"/>
      <c r="E93" s="164"/>
      <c r="F93" s="96"/>
      <c r="G93" s="91"/>
      <c r="H93" s="92" t="s">
        <v>77</v>
      </c>
      <c r="I93" s="92" t="e">
        <f>+BUDGET[[#This Row],[Total Cost CHF]]/BUDGET[[#This Row],[Quantity]]</f>
        <v>#DIV/0!</v>
      </c>
      <c r="J93" s="93">
        <f>SUMIFS(BUDGET[Total Cost LC],BUDGET[Output
Code],BUDGET[[#This Row],[Unit
Cost LC]])</f>
        <v>0</v>
      </c>
      <c r="K93" s="93">
        <f>ROUND(+BUDGET[[#This Row],[Total Cost LC]]*RATE,2)</f>
        <v>0</v>
      </c>
      <c r="L93" s="185"/>
    </row>
    <row r="94" spans="1:12" s="32" customFormat="1" outlineLevel="2" x14ac:dyDescent="0.3">
      <c r="A94" s="21" t="s">
        <v>80</v>
      </c>
      <c r="B94" s="188"/>
      <c r="C94" s="154"/>
      <c r="D94" s="154"/>
      <c r="E94" s="154"/>
      <c r="F94" s="6"/>
      <c r="G94" s="5"/>
      <c r="H94" s="6"/>
      <c r="I94" s="6" t="e">
        <f>+BUDGET[[#This Row],[Total Cost CHF]]/BUDGET[[#This Row],[Quantity]]</f>
        <v>#DIV/0!</v>
      </c>
      <c r="J94" s="6">
        <f>+BUDGET[[#This Row],[Quantity]]*BUDGET[[#This Row],[Unit
Cost LC]]</f>
        <v>0</v>
      </c>
      <c r="K94" s="6">
        <f>ROUND(+BUDGET[[#This Row],[Total Cost LC]]*RATE,2)</f>
        <v>0</v>
      </c>
      <c r="L94" s="184"/>
    </row>
    <row r="95" spans="1:12" s="32" customFormat="1" outlineLevel="2" x14ac:dyDescent="0.3">
      <c r="A95" s="5" t="s">
        <v>80</v>
      </c>
      <c r="B95" s="188"/>
      <c r="C95" s="154"/>
      <c r="D95" s="154"/>
      <c r="E95" s="154"/>
      <c r="F95" s="6"/>
      <c r="G95" s="5"/>
      <c r="H95" s="6"/>
      <c r="I95" s="6" t="e">
        <f>+BUDGET[[#This Row],[Total Cost CHF]]/BUDGET[[#This Row],[Quantity]]</f>
        <v>#DIV/0!</v>
      </c>
      <c r="J95" s="6">
        <f>+BUDGET[[#This Row],[Quantity]]*BUDGET[[#This Row],[Unit
Cost LC]]</f>
        <v>0</v>
      </c>
      <c r="K95" s="6">
        <f>ROUND(+BUDGET[[#This Row],[Total Cost LC]]*RATE,2)</f>
        <v>0</v>
      </c>
      <c r="L95" s="184"/>
    </row>
    <row r="96" spans="1:12" s="32" customFormat="1" outlineLevel="2" x14ac:dyDescent="0.3">
      <c r="A96" s="5" t="s">
        <v>80</v>
      </c>
      <c r="B96" s="188"/>
      <c r="C96" s="154"/>
      <c r="D96" s="154"/>
      <c r="E96" s="154"/>
      <c r="F96" s="6"/>
      <c r="G96" s="5"/>
      <c r="H96" s="6"/>
      <c r="I96" s="6" t="e">
        <f>+BUDGET[[#This Row],[Total Cost CHF]]/BUDGET[[#This Row],[Quantity]]</f>
        <v>#DIV/0!</v>
      </c>
      <c r="J96" s="6">
        <f>+BUDGET[[#This Row],[Quantity]]*BUDGET[[#This Row],[Unit
Cost LC]]</f>
        <v>0</v>
      </c>
      <c r="K96" s="6">
        <f>ROUND(+BUDGET[[#This Row],[Total Cost LC]]*RATE,2)</f>
        <v>0</v>
      </c>
      <c r="L96" s="184"/>
    </row>
    <row r="97" spans="1:12" s="32" customFormat="1" outlineLevel="2" x14ac:dyDescent="0.3">
      <c r="A97" s="5" t="s">
        <v>80</v>
      </c>
      <c r="B97" s="188"/>
      <c r="C97" s="154"/>
      <c r="D97" s="154"/>
      <c r="E97" s="154"/>
      <c r="F97" s="6"/>
      <c r="G97" s="5"/>
      <c r="H97" s="6"/>
      <c r="I97" s="6" t="e">
        <f>+BUDGET[[#This Row],[Total Cost CHF]]/BUDGET[[#This Row],[Quantity]]</f>
        <v>#DIV/0!</v>
      </c>
      <c r="J97" s="6">
        <f>+BUDGET[[#This Row],[Quantity]]*BUDGET[[#This Row],[Unit
Cost LC]]</f>
        <v>0</v>
      </c>
      <c r="K97" s="6">
        <f>ROUND(+BUDGET[[#This Row],[Total Cost LC]]*RATE,2)</f>
        <v>0</v>
      </c>
      <c r="L97" s="184"/>
    </row>
    <row r="98" spans="1:12" s="32" customFormat="1" outlineLevel="2" x14ac:dyDescent="0.3">
      <c r="A98" s="5" t="s">
        <v>80</v>
      </c>
      <c r="B98" s="188"/>
      <c r="C98" s="154"/>
      <c r="D98" s="154"/>
      <c r="E98" s="154"/>
      <c r="F98" s="6"/>
      <c r="G98" s="5"/>
      <c r="H98" s="6"/>
      <c r="I98" s="6" t="e">
        <f>+BUDGET[[#This Row],[Total Cost CHF]]/BUDGET[[#This Row],[Quantity]]</f>
        <v>#DIV/0!</v>
      </c>
      <c r="J98" s="6">
        <f>+BUDGET[[#This Row],[Quantity]]*BUDGET[[#This Row],[Unit
Cost LC]]</f>
        <v>0</v>
      </c>
      <c r="K98" s="6">
        <f>ROUND(+BUDGET[[#This Row],[Total Cost LC]]*RATE,2)</f>
        <v>0</v>
      </c>
      <c r="L98" s="184"/>
    </row>
    <row r="99" spans="1:12" s="32" customFormat="1" outlineLevel="2" x14ac:dyDescent="0.3">
      <c r="A99" s="5" t="s">
        <v>80</v>
      </c>
      <c r="B99" s="188"/>
      <c r="C99" s="154"/>
      <c r="D99" s="154"/>
      <c r="E99" s="154"/>
      <c r="F99" s="6"/>
      <c r="G99" s="5"/>
      <c r="H99" s="6"/>
      <c r="I99" s="6" t="e">
        <f>+BUDGET[[#This Row],[Total Cost CHF]]/BUDGET[[#This Row],[Quantity]]</f>
        <v>#DIV/0!</v>
      </c>
      <c r="J99" s="6">
        <f>+BUDGET[[#This Row],[Quantity]]*BUDGET[[#This Row],[Unit
Cost LC]]</f>
        <v>0</v>
      </c>
      <c r="K99" s="6">
        <f>ROUND(+BUDGET[[#This Row],[Total Cost LC]]*RATE,2)</f>
        <v>0</v>
      </c>
      <c r="L99" s="184"/>
    </row>
    <row r="100" spans="1:12" s="32" customFormat="1" outlineLevel="1" x14ac:dyDescent="0.3">
      <c r="A100" s="91" t="s">
        <v>81</v>
      </c>
      <c r="B100" s="91" t="s">
        <v>82</v>
      </c>
      <c r="C100" s="169"/>
      <c r="D100" s="169"/>
      <c r="E100" s="169"/>
      <c r="F100" s="96"/>
      <c r="G100" s="91"/>
      <c r="H100" s="92" t="s">
        <v>80</v>
      </c>
      <c r="I100" s="92" t="e">
        <f>+BUDGET[[#This Row],[Total Cost CHF]]/BUDGET[[#This Row],[Quantity]]</f>
        <v>#DIV/0!</v>
      </c>
      <c r="J100" s="93">
        <f>SUMIFS(BUDGET[Total Cost LC],BUDGET[Output
Code],BUDGET[[#This Row],[Unit
Cost LC]])</f>
        <v>0</v>
      </c>
      <c r="K100" s="93">
        <f>ROUND(+BUDGET[[#This Row],[Total Cost LC]]*RATE,2)</f>
        <v>0</v>
      </c>
      <c r="L100" s="185"/>
    </row>
    <row r="101" spans="1:12" s="32" customFormat="1" x14ac:dyDescent="0.3">
      <c r="A101" s="94" t="s">
        <v>83</v>
      </c>
      <c r="B101" s="94" t="s">
        <v>84</v>
      </c>
      <c r="C101" s="170"/>
      <c r="D101" s="170"/>
      <c r="E101" s="170"/>
      <c r="F101" s="95"/>
      <c r="G101" s="94"/>
      <c r="H101" s="97"/>
      <c r="I101" s="97" t="e">
        <f>+BUDGET[[#This Row],[Total Cost CHF]]/BUDGET[[#This Row],[Quantity]]</f>
        <v>#DIV/0!</v>
      </c>
      <c r="J101" s="203">
        <f>+J93+J100</f>
        <v>0</v>
      </c>
      <c r="K101" s="203">
        <f>ROUND(+BUDGET[[#This Row],[Total Cost LC]]*RATE,2)</f>
        <v>0</v>
      </c>
      <c r="L101" s="186"/>
    </row>
    <row r="102" spans="1:12" s="32" customFormat="1" outlineLevel="2" x14ac:dyDescent="0.3">
      <c r="A102" s="21" t="s">
        <v>85</v>
      </c>
      <c r="B102" s="188"/>
      <c r="C102" s="154"/>
      <c r="D102" s="154"/>
      <c r="E102" s="163"/>
      <c r="F102" s="6"/>
      <c r="G102" s="5"/>
      <c r="H102" s="6"/>
      <c r="I102" s="6" t="e">
        <f>+BUDGET[[#This Row],[Total Cost CHF]]/BUDGET[[#This Row],[Quantity]]</f>
        <v>#DIV/0!</v>
      </c>
      <c r="J102" s="6">
        <f>+BUDGET[[#This Row],[Quantity]]*BUDGET[[#This Row],[Unit
Cost LC]]</f>
        <v>0</v>
      </c>
      <c r="K102" s="6">
        <f>ROUND(+BUDGET[[#This Row],[Total Cost LC]]*RATE,2)</f>
        <v>0</v>
      </c>
      <c r="L102" s="184"/>
    </row>
    <row r="103" spans="1:12" s="32" customFormat="1" outlineLevel="2" x14ac:dyDescent="0.3">
      <c r="A103" s="5" t="s">
        <v>85</v>
      </c>
      <c r="B103" s="188"/>
      <c r="C103" s="154"/>
      <c r="D103" s="154"/>
      <c r="E103" s="154"/>
      <c r="F103" s="6"/>
      <c r="G103" s="5"/>
      <c r="H103" s="6"/>
      <c r="I103" s="6" t="e">
        <f>+BUDGET[[#This Row],[Total Cost CHF]]/BUDGET[[#This Row],[Quantity]]</f>
        <v>#DIV/0!</v>
      </c>
      <c r="J103" s="6">
        <f>+BUDGET[[#This Row],[Quantity]]*BUDGET[[#This Row],[Unit
Cost LC]]</f>
        <v>0</v>
      </c>
      <c r="K103" s="6">
        <f>ROUND(+BUDGET[[#This Row],[Total Cost LC]]*RATE,2)</f>
        <v>0</v>
      </c>
      <c r="L103" s="184"/>
    </row>
    <row r="104" spans="1:12" s="32" customFormat="1" outlineLevel="2" x14ac:dyDescent="0.3">
      <c r="A104" s="5" t="s">
        <v>85</v>
      </c>
      <c r="B104" s="188"/>
      <c r="C104" s="154"/>
      <c r="D104" s="154"/>
      <c r="E104" s="163"/>
      <c r="F104" s="6"/>
      <c r="G104" s="5"/>
      <c r="H104" s="6"/>
      <c r="I104" s="6" t="e">
        <f>+BUDGET[[#This Row],[Total Cost CHF]]/BUDGET[[#This Row],[Quantity]]</f>
        <v>#DIV/0!</v>
      </c>
      <c r="J104" s="6">
        <f>+BUDGET[[#This Row],[Quantity]]*BUDGET[[#This Row],[Unit
Cost LC]]</f>
        <v>0</v>
      </c>
      <c r="K104" s="6">
        <f>ROUND(+BUDGET[[#This Row],[Total Cost LC]]*RATE,2)</f>
        <v>0</v>
      </c>
      <c r="L104" s="184"/>
    </row>
    <row r="105" spans="1:12" s="32" customFormat="1" outlineLevel="2" x14ac:dyDescent="0.3">
      <c r="A105" s="5" t="s">
        <v>85</v>
      </c>
      <c r="B105" s="188"/>
      <c r="C105" s="154"/>
      <c r="D105" s="154"/>
      <c r="E105" s="163"/>
      <c r="F105" s="6"/>
      <c r="G105" s="5"/>
      <c r="H105" s="6"/>
      <c r="I105" s="6" t="e">
        <f>+BUDGET[[#This Row],[Total Cost CHF]]/BUDGET[[#This Row],[Quantity]]</f>
        <v>#DIV/0!</v>
      </c>
      <c r="J105" s="6">
        <f>+BUDGET[[#This Row],[Quantity]]*BUDGET[[#This Row],[Unit
Cost LC]]</f>
        <v>0</v>
      </c>
      <c r="K105" s="6">
        <f>ROUND(+BUDGET[[#This Row],[Total Cost LC]]*RATE,2)</f>
        <v>0</v>
      </c>
      <c r="L105" s="184"/>
    </row>
    <row r="106" spans="1:12" s="32" customFormat="1" outlineLevel="2" x14ac:dyDescent="0.3">
      <c r="A106" s="5" t="s">
        <v>85</v>
      </c>
      <c r="B106" s="188"/>
      <c r="C106" s="154"/>
      <c r="D106" s="154"/>
      <c r="E106" s="163"/>
      <c r="F106" s="6"/>
      <c r="G106" s="5"/>
      <c r="H106" s="6"/>
      <c r="I106" s="6" t="e">
        <f>+BUDGET[[#This Row],[Total Cost CHF]]/BUDGET[[#This Row],[Quantity]]</f>
        <v>#DIV/0!</v>
      </c>
      <c r="J106" s="6">
        <f>+BUDGET[[#This Row],[Quantity]]*BUDGET[[#This Row],[Unit
Cost LC]]</f>
        <v>0</v>
      </c>
      <c r="K106" s="6">
        <f>ROUND(+BUDGET[[#This Row],[Total Cost LC]]*RATE,2)</f>
        <v>0</v>
      </c>
      <c r="L106" s="184"/>
    </row>
    <row r="107" spans="1:12" s="32" customFormat="1" outlineLevel="1" x14ac:dyDescent="0.3">
      <c r="A107" s="91" t="s">
        <v>86</v>
      </c>
      <c r="B107" s="91" t="s">
        <v>87</v>
      </c>
      <c r="C107" s="91"/>
      <c r="D107" s="91"/>
      <c r="E107" s="164"/>
      <c r="F107" s="96"/>
      <c r="G107" s="91"/>
      <c r="H107" s="92" t="s">
        <v>85</v>
      </c>
      <c r="I107" s="92" t="e">
        <f>+BUDGET[[#This Row],[Total Cost CHF]]/BUDGET[[#This Row],[Quantity]]</f>
        <v>#DIV/0!</v>
      </c>
      <c r="J107" s="93">
        <f>SUMIFS(BUDGET[Total Cost LC],BUDGET[Output
Code],BUDGET[[#This Row],[Unit
Cost LC]])</f>
        <v>0</v>
      </c>
      <c r="K107" s="93">
        <f>ROUND(+BUDGET[[#This Row],[Total Cost LC]]*RATE,2)</f>
        <v>0</v>
      </c>
      <c r="L107" s="185"/>
    </row>
    <row r="108" spans="1:12" s="32" customFormat="1" outlineLevel="2" x14ac:dyDescent="0.3">
      <c r="A108" s="21" t="s">
        <v>88</v>
      </c>
      <c r="B108" s="188"/>
      <c r="C108" s="154"/>
      <c r="D108" s="154"/>
      <c r="E108" s="163"/>
      <c r="F108" s="6"/>
      <c r="G108" s="5"/>
      <c r="H108" s="6"/>
      <c r="I108" s="6" t="e">
        <f>+BUDGET[[#This Row],[Total Cost CHF]]/BUDGET[[#This Row],[Quantity]]</f>
        <v>#DIV/0!</v>
      </c>
      <c r="J108" s="6">
        <f>+BUDGET[[#This Row],[Quantity]]*BUDGET[[#This Row],[Unit
Cost LC]]</f>
        <v>0</v>
      </c>
      <c r="K108" s="6">
        <f>ROUND(+BUDGET[[#This Row],[Total Cost LC]]*RATE,2)</f>
        <v>0</v>
      </c>
      <c r="L108" s="184"/>
    </row>
    <row r="109" spans="1:12" s="32" customFormat="1" outlineLevel="2" x14ac:dyDescent="0.3">
      <c r="A109" s="5" t="s">
        <v>88</v>
      </c>
      <c r="B109" s="188"/>
      <c r="C109" s="154"/>
      <c r="D109" s="154"/>
      <c r="E109" s="163"/>
      <c r="F109" s="6"/>
      <c r="G109" s="5"/>
      <c r="H109" s="6"/>
      <c r="I109" s="6" t="e">
        <f>+BUDGET[[#This Row],[Total Cost CHF]]/BUDGET[[#This Row],[Quantity]]</f>
        <v>#DIV/0!</v>
      </c>
      <c r="J109" s="6">
        <f>+BUDGET[[#This Row],[Quantity]]*BUDGET[[#This Row],[Unit
Cost LC]]</f>
        <v>0</v>
      </c>
      <c r="K109" s="6">
        <f>ROUND(+BUDGET[[#This Row],[Total Cost LC]]*RATE,2)</f>
        <v>0</v>
      </c>
      <c r="L109" s="184"/>
    </row>
    <row r="110" spans="1:12" s="32" customFormat="1" outlineLevel="2" x14ac:dyDescent="0.3">
      <c r="A110" s="5" t="s">
        <v>88</v>
      </c>
      <c r="B110" s="188"/>
      <c r="C110" s="154"/>
      <c r="D110" s="154"/>
      <c r="E110" s="154"/>
      <c r="F110" s="6"/>
      <c r="G110" s="5"/>
      <c r="H110" s="6"/>
      <c r="I110" s="6" t="e">
        <f>+BUDGET[[#This Row],[Total Cost CHF]]/BUDGET[[#This Row],[Quantity]]</f>
        <v>#DIV/0!</v>
      </c>
      <c r="J110" s="6">
        <f>+BUDGET[[#This Row],[Quantity]]*BUDGET[[#This Row],[Unit
Cost LC]]</f>
        <v>0</v>
      </c>
      <c r="K110" s="6">
        <f>ROUND(+BUDGET[[#This Row],[Total Cost LC]]*RATE,2)</f>
        <v>0</v>
      </c>
      <c r="L110" s="184"/>
    </row>
    <row r="111" spans="1:12" s="32" customFormat="1" outlineLevel="2" x14ac:dyDescent="0.3">
      <c r="A111" s="5" t="s">
        <v>88</v>
      </c>
      <c r="B111" s="188"/>
      <c r="C111" s="154"/>
      <c r="D111" s="154"/>
      <c r="E111" s="163"/>
      <c r="F111" s="6"/>
      <c r="G111" s="5"/>
      <c r="H111" s="6"/>
      <c r="I111" s="6" t="e">
        <f>+BUDGET[[#This Row],[Total Cost CHF]]/BUDGET[[#This Row],[Quantity]]</f>
        <v>#DIV/0!</v>
      </c>
      <c r="J111" s="6">
        <f>+BUDGET[[#This Row],[Quantity]]*BUDGET[[#This Row],[Unit
Cost LC]]</f>
        <v>0</v>
      </c>
      <c r="K111" s="6">
        <f>ROUND(+BUDGET[[#This Row],[Total Cost LC]]*RATE,2)</f>
        <v>0</v>
      </c>
      <c r="L111" s="184"/>
    </row>
    <row r="112" spans="1:12" s="32" customFormat="1" outlineLevel="2" x14ac:dyDescent="0.3">
      <c r="A112" s="5" t="s">
        <v>88</v>
      </c>
      <c r="B112" s="188"/>
      <c r="C112" s="154"/>
      <c r="D112" s="154"/>
      <c r="E112" s="163"/>
      <c r="F112" s="6"/>
      <c r="G112" s="5"/>
      <c r="H112" s="6"/>
      <c r="I112" s="6" t="e">
        <f>+BUDGET[[#This Row],[Total Cost CHF]]/BUDGET[[#This Row],[Quantity]]</f>
        <v>#DIV/0!</v>
      </c>
      <c r="J112" s="6">
        <f>+BUDGET[[#This Row],[Quantity]]*BUDGET[[#This Row],[Unit
Cost LC]]</f>
        <v>0</v>
      </c>
      <c r="K112" s="6">
        <f>ROUND(+BUDGET[[#This Row],[Total Cost LC]]*RATE,2)</f>
        <v>0</v>
      </c>
      <c r="L112" s="184"/>
    </row>
    <row r="113" spans="1:12" s="32" customFormat="1" outlineLevel="1" x14ac:dyDescent="0.3">
      <c r="A113" s="91" t="s">
        <v>89</v>
      </c>
      <c r="B113" s="91" t="s">
        <v>90</v>
      </c>
      <c r="C113" s="91"/>
      <c r="D113" s="91"/>
      <c r="E113" s="164"/>
      <c r="F113" s="96"/>
      <c r="G113" s="91"/>
      <c r="H113" s="92" t="s">
        <v>88</v>
      </c>
      <c r="I113" s="92" t="e">
        <f>+BUDGET[[#This Row],[Total Cost CHF]]/BUDGET[[#This Row],[Quantity]]</f>
        <v>#DIV/0!</v>
      </c>
      <c r="J113" s="93">
        <f>SUMIFS(BUDGET[Total Cost LC],BUDGET[Output
Code],BUDGET[[#This Row],[Unit
Cost LC]])</f>
        <v>0</v>
      </c>
      <c r="K113" s="93">
        <f>ROUND(+BUDGET[[#This Row],[Total Cost LC]]*RATE,2)</f>
        <v>0</v>
      </c>
      <c r="L113" s="185"/>
    </row>
    <row r="114" spans="1:12" s="32" customFormat="1" outlineLevel="2" x14ac:dyDescent="0.3">
      <c r="A114" s="21" t="s">
        <v>91</v>
      </c>
      <c r="B114" s="188"/>
      <c r="C114" s="154"/>
      <c r="D114" s="154"/>
      <c r="E114" s="163"/>
      <c r="F114" s="6"/>
      <c r="G114" s="5"/>
      <c r="H114" s="6"/>
      <c r="I114" s="6" t="e">
        <f>+BUDGET[[#This Row],[Total Cost CHF]]/BUDGET[[#This Row],[Quantity]]</f>
        <v>#DIV/0!</v>
      </c>
      <c r="J114" s="6">
        <f>+BUDGET[[#This Row],[Quantity]]*BUDGET[[#This Row],[Unit
Cost LC]]</f>
        <v>0</v>
      </c>
      <c r="K114" s="6">
        <f>ROUND(+BUDGET[[#This Row],[Total Cost LC]]*RATE,2)</f>
        <v>0</v>
      </c>
      <c r="L114" s="184"/>
    </row>
    <row r="115" spans="1:12" s="32" customFormat="1" outlineLevel="2" x14ac:dyDescent="0.3">
      <c r="A115" s="5" t="s">
        <v>91</v>
      </c>
      <c r="B115" s="188"/>
      <c r="C115" s="154"/>
      <c r="D115" s="154"/>
      <c r="E115" s="163"/>
      <c r="F115" s="6"/>
      <c r="G115" s="5"/>
      <c r="H115" s="6"/>
      <c r="I115" s="6" t="e">
        <f>+BUDGET[[#This Row],[Total Cost CHF]]/BUDGET[[#This Row],[Quantity]]</f>
        <v>#DIV/0!</v>
      </c>
      <c r="J115" s="6">
        <f>+BUDGET[[#This Row],[Quantity]]*BUDGET[[#This Row],[Unit
Cost LC]]</f>
        <v>0</v>
      </c>
      <c r="K115" s="6">
        <f>ROUND(+BUDGET[[#This Row],[Total Cost LC]]*RATE,2)</f>
        <v>0</v>
      </c>
      <c r="L115" s="184"/>
    </row>
    <row r="116" spans="1:12" s="32" customFormat="1" outlineLevel="2" x14ac:dyDescent="0.3">
      <c r="A116" s="5" t="s">
        <v>91</v>
      </c>
      <c r="B116" s="188"/>
      <c r="C116" s="154"/>
      <c r="D116" s="154"/>
      <c r="E116" s="154"/>
      <c r="F116" s="6"/>
      <c r="G116" s="5"/>
      <c r="H116" s="6"/>
      <c r="I116" s="6" t="e">
        <f>+BUDGET[[#This Row],[Total Cost CHF]]/BUDGET[[#This Row],[Quantity]]</f>
        <v>#DIV/0!</v>
      </c>
      <c r="J116" s="6">
        <f>+BUDGET[[#This Row],[Quantity]]*BUDGET[[#This Row],[Unit
Cost LC]]</f>
        <v>0</v>
      </c>
      <c r="K116" s="6">
        <f>ROUND(+BUDGET[[#This Row],[Total Cost LC]]*RATE,2)</f>
        <v>0</v>
      </c>
      <c r="L116" s="184"/>
    </row>
    <row r="117" spans="1:12" s="32" customFormat="1" outlineLevel="2" x14ac:dyDescent="0.3">
      <c r="A117" s="5" t="s">
        <v>91</v>
      </c>
      <c r="B117" s="188"/>
      <c r="C117" s="154"/>
      <c r="D117" s="154"/>
      <c r="E117" s="163"/>
      <c r="F117" s="6"/>
      <c r="G117" s="5"/>
      <c r="H117" s="6"/>
      <c r="I117" s="6" t="e">
        <f>+BUDGET[[#This Row],[Total Cost CHF]]/BUDGET[[#This Row],[Quantity]]</f>
        <v>#DIV/0!</v>
      </c>
      <c r="J117" s="6">
        <f>+BUDGET[[#This Row],[Quantity]]*BUDGET[[#This Row],[Unit
Cost LC]]</f>
        <v>0</v>
      </c>
      <c r="K117" s="6">
        <f>ROUND(+BUDGET[[#This Row],[Total Cost LC]]*RATE,2)</f>
        <v>0</v>
      </c>
      <c r="L117" s="184"/>
    </row>
    <row r="118" spans="1:12" s="32" customFormat="1" outlineLevel="2" x14ac:dyDescent="0.3">
      <c r="A118" s="5" t="s">
        <v>91</v>
      </c>
      <c r="B118" s="188"/>
      <c r="C118" s="154"/>
      <c r="D118" s="154"/>
      <c r="E118" s="163"/>
      <c r="F118" s="6"/>
      <c r="G118" s="5"/>
      <c r="H118" s="6"/>
      <c r="I118" s="6" t="e">
        <f>+BUDGET[[#This Row],[Total Cost CHF]]/BUDGET[[#This Row],[Quantity]]</f>
        <v>#DIV/0!</v>
      </c>
      <c r="J118" s="6">
        <f>+BUDGET[[#This Row],[Quantity]]*BUDGET[[#This Row],[Unit
Cost LC]]</f>
        <v>0</v>
      </c>
      <c r="K118" s="6">
        <f>ROUND(+BUDGET[[#This Row],[Total Cost LC]]*RATE,2)</f>
        <v>0</v>
      </c>
      <c r="L118" s="184"/>
    </row>
    <row r="119" spans="1:12" s="32" customFormat="1" outlineLevel="1" x14ac:dyDescent="0.3">
      <c r="A119" s="91" t="s">
        <v>92</v>
      </c>
      <c r="B119" s="91" t="s">
        <v>93</v>
      </c>
      <c r="C119" s="91"/>
      <c r="D119" s="91"/>
      <c r="E119" s="164"/>
      <c r="F119" s="96"/>
      <c r="G119" s="91"/>
      <c r="H119" s="92" t="s">
        <v>91</v>
      </c>
      <c r="I119" s="92" t="e">
        <f>+BUDGET[[#This Row],[Total Cost CHF]]/BUDGET[[#This Row],[Quantity]]</f>
        <v>#DIV/0!</v>
      </c>
      <c r="J119" s="93">
        <f>SUMIFS(BUDGET[Total Cost LC],BUDGET[Output
Code],BUDGET[[#This Row],[Unit
Cost LC]])</f>
        <v>0</v>
      </c>
      <c r="K119" s="93">
        <f>ROUND(+BUDGET[[#This Row],[Total Cost LC]]*RATE,2)</f>
        <v>0</v>
      </c>
      <c r="L119" s="185"/>
    </row>
    <row r="120" spans="1:12" s="32" customFormat="1" outlineLevel="2" x14ac:dyDescent="0.3">
      <c r="A120" s="21" t="s">
        <v>94</v>
      </c>
      <c r="B120" s="188"/>
      <c r="C120" s="154"/>
      <c r="D120" s="154"/>
      <c r="E120" s="163"/>
      <c r="F120" s="6"/>
      <c r="G120" s="5"/>
      <c r="H120" s="6"/>
      <c r="I120" s="6" t="e">
        <f>+BUDGET[[#This Row],[Total Cost CHF]]/BUDGET[[#This Row],[Quantity]]</f>
        <v>#DIV/0!</v>
      </c>
      <c r="J120" s="6">
        <f>+BUDGET[[#This Row],[Quantity]]*BUDGET[[#This Row],[Unit
Cost LC]]</f>
        <v>0</v>
      </c>
      <c r="K120" s="6">
        <f>ROUND(+BUDGET[[#This Row],[Total Cost LC]]*RATE,2)</f>
        <v>0</v>
      </c>
      <c r="L120" s="184"/>
    </row>
    <row r="121" spans="1:12" s="32" customFormat="1" outlineLevel="2" x14ac:dyDescent="0.3">
      <c r="A121" s="5" t="s">
        <v>94</v>
      </c>
      <c r="B121" s="188"/>
      <c r="C121" s="154"/>
      <c r="D121" s="154"/>
      <c r="E121" s="163"/>
      <c r="F121" s="6"/>
      <c r="G121" s="5"/>
      <c r="H121" s="6"/>
      <c r="I121" s="6" t="e">
        <f>+BUDGET[[#This Row],[Total Cost CHF]]/BUDGET[[#This Row],[Quantity]]</f>
        <v>#DIV/0!</v>
      </c>
      <c r="J121" s="6">
        <f>+BUDGET[[#This Row],[Quantity]]*BUDGET[[#This Row],[Unit
Cost LC]]</f>
        <v>0</v>
      </c>
      <c r="K121" s="6">
        <f>ROUND(+BUDGET[[#This Row],[Total Cost LC]]*RATE,2)</f>
        <v>0</v>
      </c>
      <c r="L121" s="184"/>
    </row>
    <row r="122" spans="1:12" s="32" customFormat="1" outlineLevel="2" x14ac:dyDescent="0.3">
      <c r="A122" s="5" t="s">
        <v>94</v>
      </c>
      <c r="B122" s="188"/>
      <c r="C122" s="154"/>
      <c r="D122" s="154"/>
      <c r="E122" s="154"/>
      <c r="F122" s="6"/>
      <c r="G122" s="5"/>
      <c r="H122" s="6"/>
      <c r="I122" s="6" t="e">
        <f>+BUDGET[[#This Row],[Total Cost CHF]]/BUDGET[[#This Row],[Quantity]]</f>
        <v>#DIV/0!</v>
      </c>
      <c r="J122" s="6">
        <f>+BUDGET[[#This Row],[Quantity]]*BUDGET[[#This Row],[Unit
Cost LC]]</f>
        <v>0</v>
      </c>
      <c r="K122" s="6">
        <f>ROUND(+BUDGET[[#This Row],[Total Cost LC]]*RATE,2)</f>
        <v>0</v>
      </c>
      <c r="L122" s="184"/>
    </row>
    <row r="123" spans="1:12" s="32" customFormat="1" outlineLevel="2" x14ac:dyDescent="0.3">
      <c r="A123" s="5" t="s">
        <v>94</v>
      </c>
      <c r="B123" s="188"/>
      <c r="C123" s="154"/>
      <c r="D123" s="154"/>
      <c r="E123" s="163"/>
      <c r="F123" s="6"/>
      <c r="G123" s="5"/>
      <c r="H123" s="6"/>
      <c r="I123" s="6" t="e">
        <f>+BUDGET[[#This Row],[Total Cost CHF]]/BUDGET[[#This Row],[Quantity]]</f>
        <v>#DIV/0!</v>
      </c>
      <c r="J123" s="6">
        <f>+BUDGET[[#This Row],[Quantity]]*BUDGET[[#This Row],[Unit
Cost LC]]</f>
        <v>0</v>
      </c>
      <c r="K123" s="6">
        <f>ROUND(+BUDGET[[#This Row],[Total Cost LC]]*RATE,2)</f>
        <v>0</v>
      </c>
      <c r="L123" s="184"/>
    </row>
    <row r="124" spans="1:12" s="32" customFormat="1" outlineLevel="2" x14ac:dyDescent="0.3">
      <c r="A124" s="5" t="s">
        <v>94</v>
      </c>
      <c r="B124" s="188"/>
      <c r="C124" s="154"/>
      <c r="D124" s="154"/>
      <c r="E124" s="163"/>
      <c r="F124" s="6"/>
      <c r="G124" s="5"/>
      <c r="H124" s="6"/>
      <c r="I124" s="6" t="e">
        <f>+BUDGET[[#This Row],[Total Cost CHF]]/BUDGET[[#This Row],[Quantity]]</f>
        <v>#DIV/0!</v>
      </c>
      <c r="J124" s="6">
        <f>+BUDGET[[#This Row],[Quantity]]*BUDGET[[#This Row],[Unit
Cost LC]]</f>
        <v>0</v>
      </c>
      <c r="K124" s="6">
        <f>ROUND(+BUDGET[[#This Row],[Total Cost LC]]*RATE,2)</f>
        <v>0</v>
      </c>
      <c r="L124" s="184"/>
    </row>
    <row r="125" spans="1:12" s="32" customFormat="1" outlineLevel="1" x14ac:dyDescent="0.3">
      <c r="A125" s="91" t="s">
        <v>95</v>
      </c>
      <c r="B125" s="91" t="s">
        <v>96</v>
      </c>
      <c r="C125" s="91"/>
      <c r="D125" s="91"/>
      <c r="E125" s="164"/>
      <c r="F125" s="96"/>
      <c r="G125" s="91"/>
      <c r="H125" s="92" t="s">
        <v>94</v>
      </c>
      <c r="I125" s="92" t="e">
        <f>+BUDGET[[#This Row],[Total Cost CHF]]/BUDGET[[#This Row],[Quantity]]</f>
        <v>#DIV/0!</v>
      </c>
      <c r="J125" s="93">
        <f>SUMIFS(BUDGET[Total Cost LC],BUDGET[Output
Code],BUDGET[[#This Row],[Unit
Cost LC]])</f>
        <v>0</v>
      </c>
      <c r="K125" s="93">
        <f>ROUND(+BUDGET[[#This Row],[Total Cost LC]]*RATE,2)</f>
        <v>0</v>
      </c>
      <c r="L125" s="185"/>
    </row>
    <row r="126" spans="1:12" s="32" customFormat="1" outlineLevel="2" x14ac:dyDescent="0.3">
      <c r="A126" s="21" t="s">
        <v>97</v>
      </c>
      <c r="B126" s="188"/>
      <c r="C126" s="154"/>
      <c r="D126" s="154"/>
      <c r="E126" s="163"/>
      <c r="F126" s="6"/>
      <c r="G126" s="5"/>
      <c r="H126" s="6"/>
      <c r="I126" s="6" t="e">
        <f>+BUDGET[[#This Row],[Total Cost CHF]]/BUDGET[[#This Row],[Quantity]]</f>
        <v>#DIV/0!</v>
      </c>
      <c r="J126" s="6">
        <f>+BUDGET[[#This Row],[Quantity]]*BUDGET[[#This Row],[Unit
Cost LC]]</f>
        <v>0</v>
      </c>
      <c r="K126" s="6">
        <f>ROUND(+BUDGET[[#This Row],[Total Cost LC]]*RATE,2)</f>
        <v>0</v>
      </c>
      <c r="L126" s="184"/>
    </row>
    <row r="127" spans="1:12" s="32" customFormat="1" outlineLevel="2" x14ac:dyDescent="0.3">
      <c r="A127" s="5" t="s">
        <v>97</v>
      </c>
      <c r="B127" s="188"/>
      <c r="C127" s="154"/>
      <c r="D127" s="154"/>
      <c r="E127" s="154"/>
      <c r="F127" s="6"/>
      <c r="G127" s="5"/>
      <c r="H127" s="6"/>
      <c r="I127" s="6" t="e">
        <f>+BUDGET[[#This Row],[Total Cost CHF]]/BUDGET[[#This Row],[Quantity]]</f>
        <v>#DIV/0!</v>
      </c>
      <c r="J127" s="6">
        <f>+BUDGET[[#This Row],[Quantity]]*BUDGET[[#This Row],[Unit
Cost LC]]</f>
        <v>0</v>
      </c>
      <c r="K127" s="6">
        <f>ROUND(+BUDGET[[#This Row],[Total Cost LC]]*RATE,2)</f>
        <v>0</v>
      </c>
      <c r="L127" s="184"/>
    </row>
    <row r="128" spans="1:12" s="32" customFormat="1" outlineLevel="2" x14ac:dyDescent="0.3">
      <c r="A128" s="5" t="s">
        <v>97</v>
      </c>
      <c r="B128" s="188"/>
      <c r="C128" s="154"/>
      <c r="D128" s="154"/>
      <c r="E128" s="163"/>
      <c r="F128" s="6"/>
      <c r="G128" s="5"/>
      <c r="H128" s="6"/>
      <c r="I128" s="6" t="e">
        <f>+BUDGET[[#This Row],[Total Cost CHF]]/BUDGET[[#This Row],[Quantity]]</f>
        <v>#DIV/0!</v>
      </c>
      <c r="J128" s="6">
        <f>+BUDGET[[#This Row],[Quantity]]*BUDGET[[#This Row],[Unit
Cost LC]]</f>
        <v>0</v>
      </c>
      <c r="K128" s="6">
        <f>ROUND(+BUDGET[[#This Row],[Total Cost LC]]*RATE,2)</f>
        <v>0</v>
      </c>
      <c r="L128" s="184"/>
    </row>
    <row r="129" spans="1:12" s="32" customFormat="1" outlineLevel="2" x14ac:dyDescent="0.3">
      <c r="A129" s="5" t="s">
        <v>97</v>
      </c>
      <c r="B129" s="188"/>
      <c r="C129" s="154"/>
      <c r="D129" s="154"/>
      <c r="E129" s="163"/>
      <c r="F129" s="6"/>
      <c r="G129" s="5"/>
      <c r="H129" s="6"/>
      <c r="I129" s="6" t="e">
        <f>+BUDGET[[#This Row],[Total Cost CHF]]/BUDGET[[#This Row],[Quantity]]</f>
        <v>#DIV/0!</v>
      </c>
      <c r="J129" s="6">
        <f>+BUDGET[[#This Row],[Quantity]]*BUDGET[[#This Row],[Unit
Cost LC]]</f>
        <v>0</v>
      </c>
      <c r="K129" s="6">
        <f>ROUND(+BUDGET[[#This Row],[Total Cost LC]]*RATE,2)</f>
        <v>0</v>
      </c>
      <c r="L129" s="184"/>
    </row>
    <row r="130" spans="1:12" s="32" customFormat="1" outlineLevel="2" x14ac:dyDescent="0.3">
      <c r="A130" s="5" t="s">
        <v>97</v>
      </c>
      <c r="B130" s="188"/>
      <c r="C130" s="154"/>
      <c r="D130" s="154"/>
      <c r="E130" s="163"/>
      <c r="F130" s="6"/>
      <c r="G130" s="5"/>
      <c r="H130" s="6"/>
      <c r="I130" s="6" t="e">
        <f>+BUDGET[[#This Row],[Total Cost CHF]]/BUDGET[[#This Row],[Quantity]]</f>
        <v>#DIV/0!</v>
      </c>
      <c r="J130" s="6">
        <f>+BUDGET[[#This Row],[Quantity]]*BUDGET[[#This Row],[Unit
Cost LC]]</f>
        <v>0</v>
      </c>
      <c r="K130" s="6">
        <f>ROUND(+BUDGET[[#This Row],[Total Cost LC]]*RATE,2)</f>
        <v>0</v>
      </c>
      <c r="L130" s="184"/>
    </row>
    <row r="131" spans="1:12" s="32" customFormat="1" outlineLevel="1" x14ac:dyDescent="0.3">
      <c r="A131" s="91" t="s">
        <v>98</v>
      </c>
      <c r="B131" s="91" t="s">
        <v>99</v>
      </c>
      <c r="C131" s="91"/>
      <c r="D131" s="91"/>
      <c r="E131" s="164"/>
      <c r="F131" s="96"/>
      <c r="G131" s="91"/>
      <c r="H131" s="92" t="s">
        <v>97</v>
      </c>
      <c r="I131" s="92" t="e">
        <f>+BUDGET[[#This Row],[Total Cost CHF]]/BUDGET[[#This Row],[Quantity]]</f>
        <v>#DIV/0!</v>
      </c>
      <c r="J131" s="93">
        <f>SUMIFS(BUDGET[Total Cost LC],BUDGET[Output
Code],BUDGET[[#This Row],[Unit
Cost LC]])</f>
        <v>0</v>
      </c>
      <c r="K131" s="93">
        <f>ROUND(+BUDGET[[#This Row],[Total Cost LC]]*RATE,2)</f>
        <v>0</v>
      </c>
      <c r="L131" s="185"/>
    </row>
    <row r="132" spans="1:12" s="32" customFormat="1" x14ac:dyDescent="0.3">
      <c r="A132" s="94" t="s">
        <v>100</v>
      </c>
      <c r="B132" s="94" t="s">
        <v>101</v>
      </c>
      <c r="C132" s="94"/>
      <c r="D132" s="94"/>
      <c r="E132" s="165"/>
      <c r="F132" s="95"/>
      <c r="G132" s="94"/>
      <c r="H132" s="97"/>
      <c r="I132" s="97" t="e">
        <f>+BUDGET[[#This Row],[Total Cost CHF]]/BUDGET[[#This Row],[Quantity]]</f>
        <v>#DIV/0!</v>
      </c>
      <c r="J132" s="203">
        <f>+J107+J113+J119+J125+J131</f>
        <v>0</v>
      </c>
      <c r="K132" s="203">
        <f>ROUND(+BUDGET[[#This Row],[Total Cost LC]]*RATE,2)</f>
        <v>0</v>
      </c>
      <c r="L132" s="186"/>
    </row>
    <row r="133" spans="1:12" s="32" customFormat="1" outlineLevel="2" x14ac:dyDescent="0.3">
      <c r="A133" s="21" t="s">
        <v>102</v>
      </c>
      <c r="B133" s="188"/>
      <c r="C133" s="154"/>
      <c r="D133" s="154"/>
      <c r="E133" s="163"/>
      <c r="F133" s="6"/>
      <c r="G133" s="5"/>
      <c r="H133" s="6"/>
      <c r="I133" s="6" t="e">
        <f>+BUDGET[[#This Row],[Total Cost CHF]]/BUDGET[[#This Row],[Quantity]]</f>
        <v>#DIV/0!</v>
      </c>
      <c r="J133" s="6">
        <f>+BUDGET[[#This Row],[Quantity]]*BUDGET[[#This Row],[Unit
Cost LC]]</f>
        <v>0</v>
      </c>
      <c r="K133" s="6">
        <f>ROUND(+BUDGET[[#This Row],[Total Cost LC]]*RATE,2)</f>
        <v>0</v>
      </c>
      <c r="L133" s="184"/>
    </row>
    <row r="134" spans="1:12" s="32" customFormat="1" outlineLevel="2" x14ac:dyDescent="0.3">
      <c r="A134" s="5" t="s">
        <v>102</v>
      </c>
      <c r="B134" s="188"/>
      <c r="C134" s="154"/>
      <c r="D134" s="154"/>
      <c r="E134" s="163"/>
      <c r="F134" s="6"/>
      <c r="G134" s="5"/>
      <c r="H134" s="6"/>
      <c r="I134" s="6" t="e">
        <f>+BUDGET[[#This Row],[Total Cost CHF]]/BUDGET[[#This Row],[Quantity]]</f>
        <v>#DIV/0!</v>
      </c>
      <c r="J134" s="6">
        <f>+BUDGET[[#This Row],[Quantity]]*BUDGET[[#This Row],[Unit
Cost LC]]</f>
        <v>0</v>
      </c>
      <c r="K134" s="6">
        <f>ROUND(+BUDGET[[#This Row],[Total Cost LC]]*RATE,2)</f>
        <v>0</v>
      </c>
      <c r="L134" s="184"/>
    </row>
    <row r="135" spans="1:12" s="32" customFormat="1" outlineLevel="2" x14ac:dyDescent="0.3">
      <c r="A135" s="5" t="s">
        <v>102</v>
      </c>
      <c r="B135" s="188"/>
      <c r="C135" s="154"/>
      <c r="D135" s="154"/>
      <c r="E135" s="154"/>
      <c r="F135" s="6"/>
      <c r="G135" s="5"/>
      <c r="H135" s="6"/>
      <c r="I135" s="6" t="e">
        <f>+BUDGET[[#This Row],[Total Cost CHF]]/BUDGET[[#This Row],[Quantity]]</f>
        <v>#DIV/0!</v>
      </c>
      <c r="J135" s="6">
        <f>+BUDGET[[#This Row],[Quantity]]*BUDGET[[#This Row],[Unit
Cost LC]]</f>
        <v>0</v>
      </c>
      <c r="K135" s="6">
        <f>ROUND(+BUDGET[[#This Row],[Total Cost LC]]*RATE,2)</f>
        <v>0</v>
      </c>
      <c r="L135" s="184"/>
    </row>
    <row r="136" spans="1:12" s="32" customFormat="1" outlineLevel="2" x14ac:dyDescent="0.3">
      <c r="A136" s="5" t="s">
        <v>102</v>
      </c>
      <c r="B136" s="188"/>
      <c r="C136" s="154"/>
      <c r="D136" s="154"/>
      <c r="E136" s="163"/>
      <c r="F136" s="6"/>
      <c r="G136" s="5"/>
      <c r="H136" s="6"/>
      <c r="I136" s="6" t="e">
        <f>+BUDGET[[#This Row],[Total Cost CHF]]/BUDGET[[#This Row],[Quantity]]</f>
        <v>#DIV/0!</v>
      </c>
      <c r="J136" s="6">
        <f>+BUDGET[[#This Row],[Quantity]]*BUDGET[[#This Row],[Unit
Cost LC]]</f>
        <v>0</v>
      </c>
      <c r="K136" s="6">
        <f>ROUND(+BUDGET[[#This Row],[Total Cost LC]]*RATE,2)</f>
        <v>0</v>
      </c>
      <c r="L136" s="184"/>
    </row>
    <row r="137" spans="1:12" s="32" customFormat="1" outlineLevel="2" x14ac:dyDescent="0.3">
      <c r="A137" s="5" t="s">
        <v>102</v>
      </c>
      <c r="B137" s="188"/>
      <c r="C137" s="154"/>
      <c r="D137" s="154"/>
      <c r="E137" s="163"/>
      <c r="F137" s="6"/>
      <c r="G137" s="5"/>
      <c r="H137" s="6"/>
      <c r="I137" s="6" t="e">
        <f>+BUDGET[[#This Row],[Total Cost CHF]]/BUDGET[[#This Row],[Quantity]]</f>
        <v>#DIV/0!</v>
      </c>
      <c r="J137" s="6">
        <f>+BUDGET[[#This Row],[Quantity]]*BUDGET[[#This Row],[Unit
Cost LC]]</f>
        <v>0</v>
      </c>
      <c r="K137" s="6">
        <f>ROUND(+BUDGET[[#This Row],[Total Cost LC]]*RATE,2)</f>
        <v>0</v>
      </c>
      <c r="L137" s="184"/>
    </row>
    <row r="138" spans="1:12" s="32" customFormat="1" outlineLevel="1" x14ac:dyDescent="0.3">
      <c r="A138" s="91" t="s">
        <v>103</v>
      </c>
      <c r="B138" s="91" t="s">
        <v>104</v>
      </c>
      <c r="C138" s="91"/>
      <c r="D138" s="91"/>
      <c r="E138" s="164"/>
      <c r="F138" s="96"/>
      <c r="G138" s="91"/>
      <c r="H138" s="92" t="s">
        <v>102</v>
      </c>
      <c r="I138" s="92" t="e">
        <f>+BUDGET[[#This Row],[Total Cost CHF]]/BUDGET[[#This Row],[Quantity]]</f>
        <v>#DIV/0!</v>
      </c>
      <c r="J138" s="93">
        <f>SUMIFS(BUDGET[Total Cost LC],BUDGET[Output
Code],BUDGET[[#This Row],[Unit
Cost LC]])</f>
        <v>0</v>
      </c>
      <c r="K138" s="93">
        <f>ROUND(+BUDGET[[#This Row],[Total Cost LC]]*RATE,2)</f>
        <v>0</v>
      </c>
      <c r="L138" s="185"/>
    </row>
    <row r="139" spans="1:12" s="32" customFormat="1" x14ac:dyDescent="0.3">
      <c r="A139" s="94" t="s">
        <v>105</v>
      </c>
      <c r="B139" s="94" t="s">
        <v>106</v>
      </c>
      <c r="C139" s="94"/>
      <c r="D139" s="94"/>
      <c r="E139" s="165"/>
      <c r="F139" s="95"/>
      <c r="G139" s="94"/>
      <c r="H139" s="97"/>
      <c r="I139" s="97" t="e">
        <f>+BUDGET[[#This Row],[Total Cost CHF]]/BUDGET[[#This Row],[Quantity]]</f>
        <v>#DIV/0!</v>
      </c>
      <c r="J139" s="203">
        <f>+J138</f>
        <v>0</v>
      </c>
      <c r="K139" s="203">
        <f>ROUND(+BUDGET[[#This Row],[Total Cost LC]]*RATE,2)</f>
        <v>0</v>
      </c>
      <c r="L139" s="186"/>
    </row>
    <row r="140" spans="1:12" s="32" customFormat="1" outlineLevel="2" x14ac:dyDescent="0.3">
      <c r="A140" s="21" t="s">
        <v>107</v>
      </c>
      <c r="B140" s="188"/>
      <c r="C140" s="154"/>
      <c r="D140" s="154"/>
      <c r="E140" s="163"/>
      <c r="F140" s="6"/>
      <c r="G140" s="5"/>
      <c r="H140" s="6"/>
      <c r="I140" s="6" t="e">
        <f>+BUDGET[[#This Row],[Total Cost CHF]]/BUDGET[[#This Row],[Quantity]]</f>
        <v>#DIV/0!</v>
      </c>
      <c r="J140" s="6">
        <f>+BUDGET[[#This Row],[Quantity]]*BUDGET[[#This Row],[Unit
Cost LC]]</f>
        <v>0</v>
      </c>
      <c r="K140" s="6">
        <f>ROUND(+BUDGET[[#This Row],[Total Cost LC]]*RATE,2)</f>
        <v>0</v>
      </c>
      <c r="L140" s="184"/>
    </row>
    <row r="141" spans="1:12" s="32" customFormat="1" outlineLevel="2" x14ac:dyDescent="0.3">
      <c r="A141" s="5" t="s">
        <v>107</v>
      </c>
      <c r="B141" s="188"/>
      <c r="C141" s="154"/>
      <c r="D141" s="154"/>
      <c r="E141" s="163"/>
      <c r="F141" s="6"/>
      <c r="G141" s="5"/>
      <c r="H141" s="6"/>
      <c r="I141" s="6" t="e">
        <f>+BUDGET[[#This Row],[Total Cost CHF]]/BUDGET[[#This Row],[Quantity]]</f>
        <v>#DIV/0!</v>
      </c>
      <c r="J141" s="6">
        <f>+BUDGET[[#This Row],[Quantity]]*BUDGET[[#This Row],[Unit
Cost LC]]</f>
        <v>0</v>
      </c>
      <c r="K141" s="6">
        <f>ROUND(+BUDGET[[#This Row],[Total Cost LC]]*RATE,2)</f>
        <v>0</v>
      </c>
      <c r="L141" s="184"/>
    </row>
    <row r="142" spans="1:12" s="32" customFormat="1" outlineLevel="2" x14ac:dyDescent="0.3">
      <c r="A142" s="5" t="s">
        <v>107</v>
      </c>
      <c r="B142" s="188"/>
      <c r="C142" s="154"/>
      <c r="D142" s="154"/>
      <c r="E142" s="154"/>
      <c r="F142" s="6"/>
      <c r="G142" s="5"/>
      <c r="H142" s="6"/>
      <c r="I142" s="6" t="e">
        <f>+BUDGET[[#This Row],[Total Cost CHF]]/BUDGET[[#This Row],[Quantity]]</f>
        <v>#DIV/0!</v>
      </c>
      <c r="J142" s="6">
        <f>+BUDGET[[#This Row],[Quantity]]*BUDGET[[#This Row],[Unit
Cost LC]]</f>
        <v>0</v>
      </c>
      <c r="K142" s="6">
        <f>ROUND(+BUDGET[[#This Row],[Total Cost LC]]*RATE,2)</f>
        <v>0</v>
      </c>
      <c r="L142" s="184"/>
    </row>
    <row r="143" spans="1:12" s="32" customFormat="1" outlineLevel="2" x14ac:dyDescent="0.3">
      <c r="A143" s="5" t="s">
        <v>107</v>
      </c>
      <c r="B143" s="188"/>
      <c r="C143" s="154"/>
      <c r="D143" s="154"/>
      <c r="E143" s="163"/>
      <c r="F143" s="6"/>
      <c r="G143" s="5"/>
      <c r="H143" s="6"/>
      <c r="I143" s="6" t="e">
        <f>+BUDGET[[#This Row],[Total Cost CHF]]/BUDGET[[#This Row],[Quantity]]</f>
        <v>#DIV/0!</v>
      </c>
      <c r="J143" s="6">
        <f>+BUDGET[[#This Row],[Quantity]]*BUDGET[[#This Row],[Unit
Cost LC]]</f>
        <v>0</v>
      </c>
      <c r="K143" s="6">
        <f>ROUND(+BUDGET[[#This Row],[Total Cost LC]]*RATE,2)</f>
        <v>0</v>
      </c>
      <c r="L143" s="184"/>
    </row>
    <row r="144" spans="1:12" s="32" customFormat="1" outlineLevel="2" x14ac:dyDescent="0.3">
      <c r="A144" s="5" t="s">
        <v>107</v>
      </c>
      <c r="B144" s="188"/>
      <c r="C144" s="154"/>
      <c r="D144" s="154"/>
      <c r="E144" s="163"/>
      <c r="F144" s="6"/>
      <c r="G144" s="5"/>
      <c r="H144" s="6"/>
      <c r="I144" s="6" t="e">
        <f>+BUDGET[[#This Row],[Total Cost CHF]]/BUDGET[[#This Row],[Quantity]]</f>
        <v>#DIV/0!</v>
      </c>
      <c r="J144" s="6">
        <f>+BUDGET[[#This Row],[Quantity]]*BUDGET[[#This Row],[Unit
Cost LC]]</f>
        <v>0</v>
      </c>
      <c r="K144" s="6">
        <f>ROUND(+BUDGET[[#This Row],[Total Cost LC]]*RATE,2)</f>
        <v>0</v>
      </c>
      <c r="L144" s="184"/>
    </row>
    <row r="145" spans="1:12" s="32" customFormat="1" outlineLevel="1" x14ac:dyDescent="0.3">
      <c r="A145" s="91" t="s">
        <v>108</v>
      </c>
      <c r="B145" s="91" t="s">
        <v>109</v>
      </c>
      <c r="C145" s="91"/>
      <c r="D145" s="91"/>
      <c r="E145" s="164"/>
      <c r="F145" s="96"/>
      <c r="G145" s="91"/>
      <c r="H145" s="92" t="s">
        <v>107</v>
      </c>
      <c r="I145" s="92" t="e">
        <f>+BUDGET[[#This Row],[Total Cost CHF]]/BUDGET[[#This Row],[Quantity]]</f>
        <v>#DIV/0!</v>
      </c>
      <c r="J145" s="93">
        <f>SUMIFS(BUDGET[Total Cost LC],BUDGET[Output
Code],BUDGET[[#This Row],[Unit
Cost LC]])</f>
        <v>0</v>
      </c>
      <c r="K145" s="93">
        <f>ROUND(+BUDGET[[#This Row],[Total Cost LC]]*RATE,2)</f>
        <v>0</v>
      </c>
      <c r="L145" s="185"/>
    </row>
    <row r="146" spans="1:12" s="32" customFormat="1" x14ac:dyDescent="0.3">
      <c r="A146" s="94" t="s">
        <v>110</v>
      </c>
      <c r="B146" s="94" t="s">
        <v>111</v>
      </c>
      <c r="C146" s="94"/>
      <c r="D146" s="94"/>
      <c r="E146" s="165"/>
      <c r="F146" s="95"/>
      <c r="G146" s="94"/>
      <c r="H146" s="97"/>
      <c r="I146" s="97" t="e">
        <f>+BUDGET[[#This Row],[Total Cost CHF]]/BUDGET[[#This Row],[Quantity]]</f>
        <v>#DIV/0!</v>
      </c>
      <c r="J146" s="203">
        <f>+J145</f>
        <v>0</v>
      </c>
      <c r="K146" s="203">
        <f>ROUND(+BUDGET[[#This Row],[Total Cost LC]]*RATE,2)</f>
        <v>0</v>
      </c>
      <c r="L146" s="186"/>
    </row>
    <row r="147" spans="1:12" s="32" customFormat="1" outlineLevel="2" x14ac:dyDescent="0.3">
      <c r="A147" s="21" t="s">
        <v>112</v>
      </c>
      <c r="B147" s="188"/>
      <c r="C147" s="154"/>
      <c r="D147" s="154"/>
      <c r="E147" s="154"/>
      <c r="F147" s="6"/>
      <c r="G147" s="5"/>
      <c r="H147" s="6"/>
      <c r="I147" s="6" t="e">
        <f>+BUDGET[[#This Row],[Total Cost CHF]]/BUDGET[[#This Row],[Quantity]]</f>
        <v>#DIV/0!</v>
      </c>
      <c r="J147" s="6">
        <f>+BUDGET[[#This Row],[Quantity]]*BUDGET[[#This Row],[Unit
Cost LC]]</f>
        <v>0</v>
      </c>
      <c r="K147" s="6">
        <f>ROUND(+BUDGET[[#This Row],[Total Cost LC]]*RATE,2)</f>
        <v>0</v>
      </c>
      <c r="L147" s="184"/>
    </row>
    <row r="148" spans="1:12" s="32" customFormat="1" outlineLevel="2" x14ac:dyDescent="0.3">
      <c r="A148" s="5" t="s">
        <v>112</v>
      </c>
      <c r="B148" s="188"/>
      <c r="C148" s="154"/>
      <c r="D148" s="154"/>
      <c r="E148" s="154"/>
      <c r="F148" s="6"/>
      <c r="G148" s="5"/>
      <c r="H148" s="6"/>
      <c r="I148" s="6" t="e">
        <f>+BUDGET[[#This Row],[Total Cost CHF]]/BUDGET[[#This Row],[Quantity]]</f>
        <v>#DIV/0!</v>
      </c>
      <c r="J148" s="6">
        <f>+BUDGET[[#This Row],[Quantity]]*BUDGET[[#This Row],[Unit
Cost LC]]</f>
        <v>0</v>
      </c>
      <c r="K148" s="6">
        <f>ROUND(+BUDGET[[#This Row],[Total Cost LC]]*RATE,2)</f>
        <v>0</v>
      </c>
      <c r="L148" s="184"/>
    </row>
    <row r="149" spans="1:12" s="32" customFormat="1" outlineLevel="2" x14ac:dyDescent="0.3">
      <c r="A149" s="5" t="s">
        <v>112</v>
      </c>
      <c r="B149" s="188"/>
      <c r="C149" s="154"/>
      <c r="D149" s="154"/>
      <c r="E149" s="163"/>
      <c r="F149" s="6"/>
      <c r="G149" s="5"/>
      <c r="H149" s="6"/>
      <c r="I149" s="6" t="e">
        <f>+BUDGET[[#This Row],[Total Cost CHF]]/BUDGET[[#This Row],[Quantity]]</f>
        <v>#DIV/0!</v>
      </c>
      <c r="J149" s="6">
        <f>+BUDGET[[#This Row],[Quantity]]*BUDGET[[#This Row],[Unit
Cost LC]]</f>
        <v>0</v>
      </c>
      <c r="K149" s="6">
        <f>ROUND(+BUDGET[[#This Row],[Total Cost LC]]*RATE,2)</f>
        <v>0</v>
      </c>
      <c r="L149" s="184"/>
    </row>
    <row r="150" spans="1:12" s="32" customFormat="1" outlineLevel="2" x14ac:dyDescent="0.3">
      <c r="A150" s="5" t="s">
        <v>112</v>
      </c>
      <c r="B150" s="188"/>
      <c r="C150" s="154"/>
      <c r="D150" s="154"/>
      <c r="E150" s="163"/>
      <c r="F150" s="6"/>
      <c r="G150" s="5"/>
      <c r="H150" s="6"/>
      <c r="I150" s="6" t="e">
        <f>+BUDGET[[#This Row],[Total Cost CHF]]/BUDGET[[#This Row],[Quantity]]</f>
        <v>#DIV/0!</v>
      </c>
      <c r="J150" s="6">
        <f>+BUDGET[[#This Row],[Quantity]]*BUDGET[[#This Row],[Unit
Cost LC]]</f>
        <v>0</v>
      </c>
      <c r="K150" s="6">
        <f>ROUND(+BUDGET[[#This Row],[Total Cost LC]]*RATE,2)</f>
        <v>0</v>
      </c>
      <c r="L150" s="184"/>
    </row>
    <row r="151" spans="1:12" s="32" customFormat="1" outlineLevel="2" x14ac:dyDescent="0.3">
      <c r="A151" s="5" t="s">
        <v>112</v>
      </c>
      <c r="B151" s="188"/>
      <c r="C151" s="154"/>
      <c r="D151" s="154"/>
      <c r="E151" s="163"/>
      <c r="F151" s="6"/>
      <c r="G151" s="5"/>
      <c r="H151" s="6"/>
      <c r="I151" s="6" t="e">
        <f>+BUDGET[[#This Row],[Total Cost CHF]]/BUDGET[[#This Row],[Quantity]]</f>
        <v>#DIV/0!</v>
      </c>
      <c r="J151" s="6">
        <f>+BUDGET[[#This Row],[Quantity]]*BUDGET[[#This Row],[Unit
Cost LC]]</f>
        <v>0</v>
      </c>
      <c r="K151" s="6">
        <f>ROUND(+BUDGET[[#This Row],[Total Cost LC]]*RATE,2)</f>
        <v>0</v>
      </c>
      <c r="L151" s="184"/>
    </row>
    <row r="152" spans="1:12" s="32" customFormat="1" outlineLevel="1" x14ac:dyDescent="0.3">
      <c r="A152" s="91" t="s">
        <v>113</v>
      </c>
      <c r="B152" s="91" t="s">
        <v>114</v>
      </c>
      <c r="C152" s="169"/>
      <c r="D152" s="169"/>
      <c r="E152" s="169"/>
      <c r="F152" s="96"/>
      <c r="G152" s="91"/>
      <c r="H152" s="92" t="s">
        <v>112</v>
      </c>
      <c r="I152" s="92" t="e">
        <f>+BUDGET[[#This Row],[Total Cost CHF]]/BUDGET[[#This Row],[Quantity]]</f>
        <v>#DIV/0!</v>
      </c>
      <c r="J152" s="93">
        <f>SUMIFS(BUDGET[Total Cost LC],BUDGET[Output
Code],BUDGET[[#This Row],[Unit
Cost LC]])</f>
        <v>0</v>
      </c>
      <c r="K152" s="93">
        <f>ROUND(+BUDGET[[#This Row],[Total Cost LC]]*RATE,2)</f>
        <v>0</v>
      </c>
      <c r="L152" s="185"/>
    </row>
    <row r="153" spans="1:12" s="32" customFormat="1" outlineLevel="2" x14ac:dyDescent="0.3">
      <c r="A153" s="21" t="s">
        <v>115</v>
      </c>
      <c r="B153" s="188"/>
      <c r="C153" s="154"/>
      <c r="D153" s="154"/>
      <c r="E153" s="154"/>
      <c r="F153" s="6"/>
      <c r="G153" s="5"/>
      <c r="H153" s="6"/>
      <c r="I153" s="6" t="e">
        <f>+BUDGET[[#This Row],[Total Cost CHF]]/BUDGET[[#This Row],[Quantity]]</f>
        <v>#DIV/0!</v>
      </c>
      <c r="J153" s="6">
        <f>+BUDGET[[#This Row],[Quantity]]*BUDGET[[#This Row],[Unit
Cost LC]]</f>
        <v>0</v>
      </c>
      <c r="K153" s="6">
        <f>ROUND(+BUDGET[[#This Row],[Total Cost LC]]*RATE,2)</f>
        <v>0</v>
      </c>
      <c r="L153" s="184"/>
    </row>
    <row r="154" spans="1:12" s="32" customFormat="1" outlineLevel="2" x14ac:dyDescent="0.3">
      <c r="A154" s="5" t="s">
        <v>115</v>
      </c>
      <c r="B154" s="188"/>
      <c r="C154" s="154"/>
      <c r="D154" s="154"/>
      <c r="E154" s="154"/>
      <c r="F154" s="6"/>
      <c r="G154" s="5"/>
      <c r="H154" s="6"/>
      <c r="I154" s="6" t="e">
        <f>+BUDGET[[#This Row],[Total Cost CHF]]/BUDGET[[#This Row],[Quantity]]</f>
        <v>#DIV/0!</v>
      </c>
      <c r="J154" s="6">
        <f>+BUDGET[[#This Row],[Quantity]]*BUDGET[[#This Row],[Unit
Cost LC]]</f>
        <v>0</v>
      </c>
      <c r="K154" s="6">
        <f>ROUND(+BUDGET[[#This Row],[Total Cost LC]]*RATE,2)</f>
        <v>0</v>
      </c>
      <c r="L154" s="184"/>
    </row>
    <row r="155" spans="1:12" s="32" customFormat="1" outlineLevel="2" x14ac:dyDescent="0.3">
      <c r="A155" s="5" t="s">
        <v>115</v>
      </c>
      <c r="B155" s="188"/>
      <c r="C155" s="154"/>
      <c r="D155" s="154"/>
      <c r="E155" s="163"/>
      <c r="F155" s="6"/>
      <c r="G155" s="5"/>
      <c r="H155" s="6"/>
      <c r="I155" s="6" t="e">
        <f>+BUDGET[[#This Row],[Total Cost CHF]]/BUDGET[[#This Row],[Quantity]]</f>
        <v>#DIV/0!</v>
      </c>
      <c r="J155" s="6">
        <f>+BUDGET[[#This Row],[Quantity]]*BUDGET[[#This Row],[Unit
Cost LC]]</f>
        <v>0</v>
      </c>
      <c r="K155" s="6">
        <f>ROUND(+BUDGET[[#This Row],[Total Cost LC]]*RATE,2)</f>
        <v>0</v>
      </c>
      <c r="L155" s="184"/>
    </row>
    <row r="156" spans="1:12" s="32" customFormat="1" outlineLevel="2" x14ac:dyDescent="0.3">
      <c r="A156" s="5" t="s">
        <v>115</v>
      </c>
      <c r="B156" s="188"/>
      <c r="C156" s="154"/>
      <c r="D156" s="154"/>
      <c r="E156" s="163"/>
      <c r="F156" s="6"/>
      <c r="G156" s="5"/>
      <c r="H156" s="6"/>
      <c r="I156" s="6" t="e">
        <f>+BUDGET[[#This Row],[Total Cost CHF]]/BUDGET[[#This Row],[Quantity]]</f>
        <v>#DIV/0!</v>
      </c>
      <c r="J156" s="6">
        <f>+BUDGET[[#This Row],[Quantity]]*BUDGET[[#This Row],[Unit
Cost LC]]</f>
        <v>0</v>
      </c>
      <c r="K156" s="6">
        <f>ROUND(+BUDGET[[#This Row],[Total Cost LC]]*RATE,2)</f>
        <v>0</v>
      </c>
      <c r="L156" s="184"/>
    </row>
    <row r="157" spans="1:12" s="32" customFormat="1" outlineLevel="2" x14ac:dyDescent="0.3">
      <c r="A157" s="5" t="s">
        <v>115</v>
      </c>
      <c r="B157" s="188"/>
      <c r="C157" s="154"/>
      <c r="D157" s="154"/>
      <c r="E157" s="163"/>
      <c r="F157" s="6"/>
      <c r="G157" s="5"/>
      <c r="H157" s="6"/>
      <c r="I157" s="6" t="e">
        <f>+BUDGET[[#This Row],[Total Cost CHF]]/BUDGET[[#This Row],[Quantity]]</f>
        <v>#DIV/0!</v>
      </c>
      <c r="J157" s="6">
        <f>+BUDGET[[#This Row],[Quantity]]*BUDGET[[#This Row],[Unit
Cost LC]]</f>
        <v>0</v>
      </c>
      <c r="K157" s="6">
        <f>ROUND(+BUDGET[[#This Row],[Total Cost LC]]*RATE,2)</f>
        <v>0</v>
      </c>
      <c r="L157" s="184"/>
    </row>
    <row r="158" spans="1:12" s="32" customFormat="1" outlineLevel="1" x14ac:dyDescent="0.3">
      <c r="A158" s="91" t="s">
        <v>116</v>
      </c>
      <c r="B158" s="91" t="s">
        <v>117</v>
      </c>
      <c r="C158" s="169"/>
      <c r="D158" s="169"/>
      <c r="E158" s="169"/>
      <c r="F158" s="96"/>
      <c r="G158" s="91"/>
      <c r="H158" s="92" t="s">
        <v>115</v>
      </c>
      <c r="I158" s="92" t="e">
        <f>+BUDGET[[#This Row],[Total Cost CHF]]/BUDGET[[#This Row],[Quantity]]</f>
        <v>#DIV/0!</v>
      </c>
      <c r="J158" s="93">
        <f>SUMIFS(BUDGET[Total Cost LC],BUDGET[Output
Code],BUDGET[[#This Row],[Unit
Cost LC]])</f>
        <v>0</v>
      </c>
      <c r="K158" s="93">
        <f>ROUND(+BUDGET[[#This Row],[Total Cost LC]]*RATE,2)</f>
        <v>0</v>
      </c>
      <c r="L158" s="185"/>
    </row>
    <row r="159" spans="1:12" s="32" customFormat="1" outlineLevel="2" x14ac:dyDescent="0.3">
      <c r="A159" s="21" t="s">
        <v>118</v>
      </c>
      <c r="B159" s="188"/>
      <c r="C159" s="154"/>
      <c r="D159" s="154"/>
      <c r="E159" s="163"/>
      <c r="F159" s="6"/>
      <c r="G159" s="5"/>
      <c r="H159" s="6"/>
      <c r="I159" s="6" t="e">
        <f>+BUDGET[[#This Row],[Total Cost CHF]]/BUDGET[[#This Row],[Quantity]]</f>
        <v>#DIV/0!</v>
      </c>
      <c r="J159" s="6">
        <f>+BUDGET[[#This Row],[Quantity]]*BUDGET[[#This Row],[Unit
Cost LC]]</f>
        <v>0</v>
      </c>
      <c r="K159" s="6">
        <f>ROUND(+BUDGET[[#This Row],[Total Cost LC]]*RATE,2)</f>
        <v>0</v>
      </c>
      <c r="L159" s="184"/>
    </row>
    <row r="160" spans="1:12" s="32" customFormat="1" outlineLevel="2" x14ac:dyDescent="0.3">
      <c r="A160" s="5" t="s">
        <v>118</v>
      </c>
      <c r="B160" s="188"/>
      <c r="C160" s="154"/>
      <c r="D160" s="154"/>
      <c r="E160" s="163"/>
      <c r="F160" s="6"/>
      <c r="G160" s="5"/>
      <c r="H160" s="6"/>
      <c r="I160" s="6" t="e">
        <f>+BUDGET[[#This Row],[Total Cost CHF]]/BUDGET[[#This Row],[Quantity]]</f>
        <v>#DIV/0!</v>
      </c>
      <c r="J160" s="6">
        <f>+BUDGET[[#This Row],[Quantity]]*BUDGET[[#This Row],[Unit
Cost LC]]</f>
        <v>0</v>
      </c>
      <c r="K160" s="6">
        <f>ROUND(+BUDGET[[#This Row],[Total Cost LC]]*RATE,2)</f>
        <v>0</v>
      </c>
      <c r="L160" s="184"/>
    </row>
    <row r="161" spans="1:12" s="32" customFormat="1" outlineLevel="2" x14ac:dyDescent="0.3">
      <c r="A161" s="5" t="s">
        <v>118</v>
      </c>
      <c r="B161" s="188"/>
      <c r="C161" s="154"/>
      <c r="D161" s="154"/>
      <c r="E161" s="154"/>
      <c r="F161" s="6"/>
      <c r="G161" s="5"/>
      <c r="H161" s="6"/>
      <c r="I161" s="6" t="e">
        <f>+BUDGET[[#This Row],[Total Cost CHF]]/BUDGET[[#This Row],[Quantity]]</f>
        <v>#DIV/0!</v>
      </c>
      <c r="J161" s="6">
        <f>+BUDGET[[#This Row],[Quantity]]*BUDGET[[#This Row],[Unit
Cost LC]]</f>
        <v>0</v>
      </c>
      <c r="K161" s="6">
        <f>ROUND(+BUDGET[[#This Row],[Total Cost LC]]*RATE,2)</f>
        <v>0</v>
      </c>
      <c r="L161" s="184"/>
    </row>
    <row r="162" spans="1:12" s="32" customFormat="1" outlineLevel="2" x14ac:dyDescent="0.3">
      <c r="A162" s="5" t="s">
        <v>118</v>
      </c>
      <c r="B162" s="188"/>
      <c r="C162" s="154"/>
      <c r="D162" s="154"/>
      <c r="E162" s="163"/>
      <c r="F162" s="6"/>
      <c r="G162" s="5"/>
      <c r="H162" s="6"/>
      <c r="I162" s="6" t="e">
        <f>+BUDGET[[#This Row],[Total Cost CHF]]/BUDGET[[#This Row],[Quantity]]</f>
        <v>#DIV/0!</v>
      </c>
      <c r="J162" s="6">
        <f>+BUDGET[[#This Row],[Quantity]]*BUDGET[[#This Row],[Unit
Cost LC]]</f>
        <v>0</v>
      </c>
      <c r="K162" s="6">
        <f>ROUND(+BUDGET[[#This Row],[Total Cost LC]]*RATE,2)</f>
        <v>0</v>
      </c>
      <c r="L162" s="184"/>
    </row>
    <row r="163" spans="1:12" s="32" customFormat="1" outlineLevel="2" x14ac:dyDescent="0.3">
      <c r="A163" s="5" t="s">
        <v>118</v>
      </c>
      <c r="B163" s="188"/>
      <c r="C163" s="154"/>
      <c r="D163" s="154"/>
      <c r="E163" s="163"/>
      <c r="F163" s="6"/>
      <c r="G163" s="5"/>
      <c r="H163" s="6"/>
      <c r="I163" s="6" t="e">
        <f>+BUDGET[[#This Row],[Total Cost CHF]]/BUDGET[[#This Row],[Quantity]]</f>
        <v>#DIV/0!</v>
      </c>
      <c r="J163" s="6">
        <f>+BUDGET[[#This Row],[Quantity]]*BUDGET[[#This Row],[Unit
Cost LC]]</f>
        <v>0</v>
      </c>
      <c r="K163" s="6">
        <f>ROUND(+BUDGET[[#This Row],[Total Cost LC]]*RATE,2)</f>
        <v>0</v>
      </c>
      <c r="L163" s="184"/>
    </row>
    <row r="164" spans="1:12" s="32" customFormat="1" outlineLevel="1" x14ac:dyDescent="0.3">
      <c r="A164" s="91" t="s">
        <v>119</v>
      </c>
      <c r="B164" s="91" t="s">
        <v>120</v>
      </c>
      <c r="C164" s="91"/>
      <c r="D164" s="91"/>
      <c r="E164" s="164"/>
      <c r="F164" s="96"/>
      <c r="G164" s="91"/>
      <c r="H164" s="92" t="s">
        <v>118</v>
      </c>
      <c r="I164" s="92" t="e">
        <f>+BUDGET[[#This Row],[Total Cost CHF]]/BUDGET[[#This Row],[Quantity]]</f>
        <v>#DIV/0!</v>
      </c>
      <c r="J164" s="93">
        <f>SUMIFS(BUDGET[Total Cost LC],BUDGET[Output
Code],BUDGET[[#This Row],[Unit
Cost LC]])</f>
        <v>0</v>
      </c>
      <c r="K164" s="93">
        <f>ROUND(+BUDGET[[#This Row],[Total Cost LC]]*RATE,2)</f>
        <v>0</v>
      </c>
      <c r="L164" s="185"/>
    </row>
    <row r="165" spans="1:12" s="32" customFormat="1" outlineLevel="2" x14ac:dyDescent="0.3">
      <c r="A165" s="21" t="s">
        <v>121</v>
      </c>
      <c r="B165" s="188"/>
      <c r="C165" s="154"/>
      <c r="D165" s="154"/>
      <c r="E165" s="163"/>
      <c r="F165" s="6"/>
      <c r="G165" s="5"/>
      <c r="H165" s="6"/>
      <c r="I165" s="6" t="e">
        <f>+BUDGET[[#This Row],[Total Cost CHF]]/BUDGET[[#This Row],[Quantity]]</f>
        <v>#DIV/0!</v>
      </c>
      <c r="J165" s="6">
        <f>+BUDGET[[#This Row],[Quantity]]*BUDGET[[#This Row],[Unit
Cost LC]]</f>
        <v>0</v>
      </c>
      <c r="K165" s="6">
        <f>ROUND(+BUDGET[[#This Row],[Total Cost LC]]*RATE,2)</f>
        <v>0</v>
      </c>
      <c r="L165" s="184"/>
    </row>
    <row r="166" spans="1:12" s="32" customFormat="1" outlineLevel="2" x14ac:dyDescent="0.3">
      <c r="A166" s="5" t="s">
        <v>121</v>
      </c>
      <c r="B166" s="188"/>
      <c r="C166" s="154"/>
      <c r="D166" s="154"/>
      <c r="E166" s="154"/>
      <c r="F166" s="6"/>
      <c r="G166" s="5"/>
      <c r="H166" s="6"/>
      <c r="I166" s="6" t="e">
        <f>+BUDGET[[#This Row],[Total Cost CHF]]/BUDGET[[#This Row],[Quantity]]</f>
        <v>#DIV/0!</v>
      </c>
      <c r="J166" s="6">
        <f>+BUDGET[[#This Row],[Quantity]]*BUDGET[[#This Row],[Unit
Cost LC]]</f>
        <v>0</v>
      </c>
      <c r="K166" s="6">
        <f>ROUND(+BUDGET[[#This Row],[Total Cost LC]]*RATE,2)</f>
        <v>0</v>
      </c>
      <c r="L166" s="184"/>
    </row>
    <row r="167" spans="1:12" s="32" customFormat="1" outlineLevel="2" x14ac:dyDescent="0.3">
      <c r="A167" s="5" t="s">
        <v>121</v>
      </c>
      <c r="B167" s="188"/>
      <c r="C167" s="154"/>
      <c r="D167" s="154"/>
      <c r="E167" s="163"/>
      <c r="F167" s="6"/>
      <c r="G167" s="5"/>
      <c r="H167" s="6"/>
      <c r="I167" s="6" t="e">
        <f>+BUDGET[[#This Row],[Total Cost CHF]]/BUDGET[[#This Row],[Quantity]]</f>
        <v>#DIV/0!</v>
      </c>
      <c r="J167" s="6">
        <f>+BUDGET[[#This Row],[Quantity]]*BUDGET[[#This Row],[Unit
Cost LC]]</f>
        <v>0</v>
      </c>
      <c r="K167" s="6">
        <f>ROUND(+BUDGET[[#This Row],[Total Cost LC]]*RATE,2)</f>
        <v>0</v>
      </c>
      <c r="L167" s="184"/>
    </row>
    <row r="168" spans="1:12" s="32" customFormat="1" outlineLevel="2" x14ac:dyDescent="0.3">
      <c r="A168" s="5" t="s">
        <v>121</v>
      </c>
      <c r="B168" s="188"/>
      <c r="C168" s="154"/>
      <c r="D168" s="154"/>
      <c r="E168" s="163"/>
      <c r="F168" s="6"/>
      <c r="G168" s="5"/>
      <c r="H168" s="6"/>
      <c r="I168" s="6" t="e">
        <f>+BUDGET[[#This Row],[Total Cost CHF]]/BUDGET[[#This Row],[Quantity]]</f>
        <v>#DIV/0!</v>
      </c>
      <c r="J168" s="6">
        <f>+BUDGET[[#This Row],[Quantity]]*BUDGET[[#This Row],[Unit
Cost LC]]</f>
        <v>0</v>
      </c>
      <c r="K168" s="6">
        <f>ROUND(+BUDGET[[#This Row],[Total Cost LC]]*RATE,2)</f>
        <v>0</v>
      </c>
      <c r="L168" s="184"/>
    </row>
    <row r="169" spans="1:12" s="32" customFormat="1" outlineLevel="2" x14ac:dyDescent="0.3">
      <c r="A169" s="5" t="s">
        <v>121</v>
      </c>
      <c r="B169" s="188"/>
      <c r="C169" s="154"/>
      <c r="D169" s="154"/>
      <c r="E169" s="163"/>
      <c r="F169" s="6"/>
      <c r="G169" s="5"/>
      <c r="H169" s="6"/>
      <c r="I169" s="6" t="e">
        <f>+BUDGET[[#This Row],[Total Cost CHF]]/BUDGET[[#This Row],[Quantity]]</f>
        <v>#DIV/0!</v>
      </c>
      <c r="J169" s="6">
        <f>+BUDGET[[#This Row],[Quantity]]*BUDGET[[#This Row],[Unit
Cost LC]]</f>
        <v>0</v>
      </c>
      <c r="K169" s="6">
        <f>ROUND(+BUDGET[[#This Row],[Total Cost LC]]*RATE,2)</f>
        <v>0</v>
      </c>
      <c r="L169" s="184"/>
    </row>
    <row r="170" spans="1:12" s="32" customFormat="1" outlineLevel="1" x14ac:dyDescent="0.3">
      <c r="A170" s="91" t="s">
        <v>122</v>
      </c>
      <c r="B170" s="91" t="s">
        <v>123</v>
      </c>
      <c r="C170" s="91"/>
      <c r="D170" s="91"/>
      <c r="E170" s="164"/>
      <c r="F170" s="96"/>
      <c r="G170" s="91"/>
      <c r="H170" s="92" t="s">
        <v>121</v>
      </c>
      <c r="I170" s="92" t="e">
        <f>+BUDGET[[#This Row],[Total Cost CHF]]/BUDGET[[#This Row],[Quantity]]</f>
        <v>#DIV/0!</v>
      </c>
      <c r="J170" s="93">
        <f>SUMIFS(BUDGET[Total Cost LC],BUDGET[Output
Code],BUDGET[[#This Row],[Unit
Cost LC]])</f>
        <v>0</v>
      </c>
      <c r="K170" s="93">
        <f>ROUND(+BUDGET[[#This Row],[Total Cost LC]]*RATE,2)</f>
        <v>0</v>
      </c>
      <c r="L170" s="185"/>
    </row>
    <row r="171" spans="1:12" s="32" customFormat="1" outlineLevel="2" x14ac:dyDescent="0.3">
      <c r="A171" s="21" t="s">
        <v>124</v>
      </c>
      <c r="B171" s="188"/>
      <c r="C171" s="154"/>
      <c r="D171" s="154"/>
      <c r="E171" s="163"/>
      <c r="F171" s="6"/>
      <c r="G171" s="5"/>
      <c r="H171" s="6"/>
      <c r="I171" s="6" t="e">
        <f>+BUDGET[[#This Row],[Total Cost CHF]]/BUDGET[[#This Row],[Quantity]]</f>
        <v>#DIV/0!</v>
      </c>
      <c r="J171" s="6">
        <f>+BUDGET[[#This Row],[Quantity]]*BUDGET[[#This Row],[Unit
Cost LC]]</f>
        <v>0</v>
      </c>
      <c r="K171" s="6">
        <f>ROUND(+BUDGET[[#This Row],[Total Cost LC]]*RATE,2)</f>
        <v>0</v>
      </c>
      <c r="L171" s="184"/>
    </row>
    <row r="172" spans="1:12" s="32" customFormat="1" outlineLevel="2" x14ac:dyDescent="0.3">
      <c r="A172" s="5" t="s">
        <v>124</v>
      </c>
      <c r="B172" s="188"/>
      <c r="C172" s="154"/>
      <c r="D172" s="154"/>
      <c r="E172" s="163"/>
      <c r="F172" s="6"/>
      <c r="G172" s="5"/>
      <c r="H172" s="6"/>
      <c r="I172" s="6" t="e">
        <f>+BUDGET[[#This Row],[Total Cost CHF]]/BUDGET[[#This Row],[Quantity]]</f>
        <v>#DIV/0!</v>
      </c>
      <c r="J172" s="6">
        <f>+BUDGET[[#This Row],[Quantity]]*BUDGET[[#This Row],[Unit
Cost LC]]</f>
        <v>0</v>
      </c>
      <c r="K172" s="6">
        <f>ROUND(+BUDGET[[#This Row],[Total Cost LC]]*RATE,2)</f>
        <v>0</v>
      </c>
      <c r="L172" s="184"/>
    </row>
    <row r="173" spans="1:12" s="32" customFormat="1" outlineLevel="2" x14ac:dyDescent="0.3">
      <c r="A173" s="5" t="s">
        <v>124</v>
      </c>
      <c r="B173" s="188"/>
      <c r="C173" s="154"/>
      <c r="D173" s="154"/>
      <c r="E173" s="154"/>
      <c r="F173" s="6"/>
      <c r="G173" s="5"/>
      <c r="H173" s="6"/>
      <c r="I173" s="6" t="e">
        <f>+BUDGET[[#This Row],[Total Cost CHF]]/BUDGET[[#This Row],[Quantity]]</f>
        <v>#DIV/0!</v>
      </c>
      <c r="J173" s="6">
        <f>+BUDGET[[#This Row],[Quantity]]*BUDGET[[#This Row],[Unit
Cost LC]]</f>
        <v>0</v>
      </c>
      <c r="K173" s="6">
        <f>ROUND(+BUDGET[[#This Row],[Total Cost LC]]*RATE,2)</f>
        <v>0</v>
      </c>
      <c r="L173" s="184"/>
    </row>
    <row r="174" spans="1:12" s="32" customFormat="1" outlineLevel="2" x14ac:dyDescent="0.3">
      <c r="A174" s="5" t="s">
        <v>124</v>
      </c>
      <c r="B174" s="188"/>
      <c r="C174" s="154"/>
      <c r="D174" s="154"/>
      <c r="E174" s="163"/>
      <c r="F174" s="6"/>
      <c r="G174" s="5"/>
      <c r="H174" s="6"/>
      <c r="I174" s="6" t="e">
        <f>+BUDGET[[#This Row],[Total Cost CHF]]/BUDGET[[#This Row],[Quantity]]</f>
        <v>#DIV/0!</v>
      </c>
      <c r="J174" s="6">
        <f>+BUDGET[[#This Row],[Quantity]]*BUDGET[[#This Row],[Unit
Cost LC]]</f>
        <v>0</v>
      </c>
      <c r="K174" s="6">
        <f>ROUND(+BUDGET[[#This Row],[Total Cost LC]]*RATE,2)</f>
        <v>0</v>
      </c>
      <c r="L174" s="184"/>
    </row>
    <row r="175" spans="1:12" s="32" customFormat="1" outlineLevel="2" x14ac:dyDescent="0.3">
      <c r="A175" s="5" t="s">
        <v>124</v>
      </c>
      <c r="B175" s="188"/>
      <c r="C175" s="154"/>
      <c r="D175" s="154"/>
      <c r="E175" s="163"/>
      <c r="F175" s="6"/>
      <c r="G175" s="5"/>
      <c r="H175" s="6"/>
      <c r="I175" s="6" t="e">
        <f>+BUDGET[[#This Row],[Total Cost CHF]]/BUDGET[[#This Row],[Quantity]]</f>
        <v>#DIV/0!</v>
      </c>
      <c r="J175" s="6">
        <f>+BUDGET[[#This Row],[Quantity]]*BUDGET[[#This Row],[Unit
Cost LC]]</f>
        <v>0</v>
      </c>
      <c r="K175" s="6">
        <f>ROUND(+BUDGET[[#This Row],[Total Cost LC]]*RATE,2)</f>
        <v>0</v>
      </c>
      <c r="L175" s="184"/>
    </row>
    <row r="176" spans="1:12" s="32" customFormat="1" outlineLevel="1" x14ac:dyDescent="0.3">
      <c r="A176" s="91" t="s">
        <v>125</v>
      </c>
      <c r="B176" s="91" t="s">
        <v>126</v>
      </c>
      <c r="C176" s="91"/>
      <c r="D176" s="91"/>
      <c r="E176" s="164"/>
      <c r="F176" s="96"/>
      <c r="G176" s="91"/>
      <c r="H176" s="92" t="s">
        <v>124</v>
      </c>
      <c r="I176" s="92" t="e">
        <f>+BUDGET[[#This Row],[Total Cost CHF]]/BUDGET[[#This Row],[Quantity]]</f>
        <v>#DIV/0!</v>
      </c>
      <c r="J176" s="93">
        <f>SUMIFS(BUDGET[Total Cost LC],BUDGET[Output
Code],BUDGET[[#This Row],[Unit
Cost LC]])</f>
        <v>0</v>
      </c>
      <c r="K176" s="93">
        <f>ROUND(+BUDGET[[#This Row],[Total Cost LC]]*RATE,2)</f>
        <v>0</v>
      </c>
      <c r="L176" s="185"/>
    </row>
    <row r="177" spans="1:12" s="32" customFormat="1" outlineLevel="2" x14ac:dyDescent="0.3">
      <c r="A177" s="21" t="s">
        <v>127</v>
      </c>
      <c r="B177" s="188"/>
      <c r="C177" s="154"/>
      <c r="D177" s="154"/>
      <c r="E177" s="163"/>
      <c r="F177" s="6"/>
      <c r="G177" s="5"/>
      <c r="H177" s="6"/>
      <c r="I177" s="6" t="e">
        <f>+BUDGET[[#This Row],[Total Cost CHF]]/BUDGET[[#This Row],[Quantity]]</f>
        <v>#DIV/0!</v>
      </c>
      <c r="J177" s="6">
        <f>+BUDGET[[#This Row],[Quantity]]*BUDGET[[#This Row],[Unit
Cost LC]]</f>
        <v>0</v>
      </c>
      <c r="K177" s="6">
        <f>ROUND(+BUDGET[[#This Row],[Total Cost LC]]*RATE,2)</f>
        <v>0</v>
      </c>
      <c r="L177" s="184"/>
    </row>
    <row r="178" spans="1:12" s="32" customFormat="1" outlineLevel="2" x14ac:dyDescent="0.3">
      <c r="A178" s="5" t="s">
        <v>127</v>
      </c>
      <c r="B178" s="188"/>
      <c r="C178" s="154"/>
      <c r="D178" s="154"/>
      <c r="E178" s="163"/>
      <c r="F178" s="6"/>
      <c r="G178" s="5"/>
      <c r="H178" s="6"/>
      <c r="I178" s="6" t="e">
        <f>+BUDGET[[#This Row],[Total Cost CHF]]/BUDGET[[#This Row],[Quantity]]</f>
        <v>#DIV/0!</v>
      </c>
      <c r="J178" s="6">
        <f>+BUDGET[[#This Row],[Quantity]]*BUDGET[[#This Row],[Unit
Cost LC]]</f>
        <v>0</v>
      </c>
      <c r="K178" s="6">
        <f>ROUND(+BUDGET[[#This Row],[Total Cost LC]]*RATE,2)</f>
        <v>0</v>
      </c>
      <c r="L178" s="184"/>
    </row>
    <row r="179" spans="1:12" s="32" customFormat="1" outlineLevel="2" x14ac:dyDescent="0.3">
      <c r="A179" s="5" t="s">
        <v>127</v>
      </c>
      <c r="B179" s="188"/>
      <c r="C179" s="154"/>
      <c r="D179" s="154"/>
      <c r="E179" s="154"/>
      <c r="F179" s="6"/>
      <c r="G179" s="5"/>
      <c r="H179" s="6"/>
      <c r="I179" s="6" t="e">
        <f>+BUDGET[[#This Row],[Total Cost CHF]]/BUDGET[[#This Row],[Quantity]]</f>
        <v>#DIV/0!</v>
      </c>
      <c r="J179" s="6">
        <f>+BUDGET[[#This Row],[Quantity]]*BUDGET[[#This Row],[Unit
Cost LC]]</f>
        <v>0</v>
      </c>
      <c r="K179" s="6">
        <f>ROUND(+BUDGET[[#This Row],[Total Cost LC]]*RATE,2)</f>
        <v>0</v>
      </c>
      <c r="L179" s="184"/>
    </row>
    <row r="180" spans="1:12" s="32" customFormat="1" outlineLevel="2" x14ac:dyDescent="0.3">
      <c r="A180" s="5" t="s">
        <v>127</v>
      </c>
      <c r="B180" s="188"/>
      <c r="C180" s="154"/>
      <c r="D180" s="154"/>
      <c r="E180" s="163"/>
      <c r="F180" s="6"/>
      <c r="G180" s="5"/>
      <c r="H180" s="6"/>
      <c r="I180" s="6" t="e">
        <f>+BUDGET[[#This Row],[Total Cost CHF]]/BUDGET[[#This Row],[Quantity]]</f>
        <v>#DIV/0!</v>
      </c>
      <c r="J180" s="6">
        <f>+BUDGET[[#This Row],[Quantity]]*BUDGET[[#This Row],[Unit
Cost LC]]</f>
        <v>0</v>
      </c>
      <c r="K180" s="6">
        <f>ROUND(+BUDGET[[#This Row],[Total Cost LC]]*RATE,2)</f>
        <v>0</v>
      </c>
      <c r="L180" s="184"/>
    </row>
    <row r="181" spans="1:12" s="32" customFormat="1" outlineLevel="2" x14ac:dyDescent="0.3">
      <c r="A181" s="5" t="s">
        <v>127</v>
      </c>
      <c r="B181" s="188"/>
      <c r="C181" s="154"/>
      <c r="D181" s="154"/>
      <c r="E181" s="163"/>
      <c r="F181" s="6"/>
      <c r="G181" s="5"/>
      <c r="H181" s="6"/>
      <c r="I181" s="6" t="e">
        <f>+BUDGET[[#This Row],[Total Cost CHF]]/BUDGET[[#This Row],[Quantity]]</f>
        <v>#DIV/0!</v>
      </c>
      <c r="J181" s="6">
        <f>+BUDGET[[#This Row],[Quantity]]*BUDGET[[#This Row],[Unit
Cost LC]]</f>
        <v>0</v>
      </c>
      <c r="K181" s="6">
        <f>ROUND(+BUDGET[[#This Row],[Total Cost LC]]*RATE,2)</f>
        <v>0</v>
      </c>
      <c r="L181" s="184"/>
    </row>
    <row r="182" spans="1:12" s="32" customFormat="1" outlineLevel="1" x14ac:dyDescent="0.3">
      <c r="A182" s="91" t="s">
        <v>128</v>
      </c>
      <c r="B182" s="91" t="s">
        <v>129</v>
      </c>
      <c r="C182" s="91"/>
      <c r="D182" s="91"/>
      <c r="E182" s="164"/>
      <c r="F182" s="96"/>
      <c r="G182" s="91"/>
      <c r="H182" s="92" t="s">
        <v>127</v>
      </c>
      <c r="I182" s="92" t="e">
        <f>+BUDGET[[#This Row],[Total Cost CHF]]/BUDGET[[#This Row],[Quantity]]</f>
        <v>#DIV/0!</v>
      </c>
      <c r="J182" s="93">
        <f>SUMIFS(BUDGET[Total Cost LC],BUDGET[Output
Code],BUDGET[[#This Row],[Unit
Cost LC]])</f>
        <v>0</v>
      </c>
      <c r="K182" s="93">
        <f>ROUND(+BUDGET[[#This Row],[Total Cost LC]]*RATE,2)</f>
        <v>0</v>
      </c>
      <c r="L182" s="185"/>
    </row>
    <row r="183" spans="1:12" s="32" customFormat="1" outlineLevel="2" x14ac:dyDescent="0.3">
      <c r="A183" s="21" t="s">
        <v>130</v>
      </c>
      <c r="B183" s="188"/>
      <c r="C183" s="154"/>
      <c r="D183" s="154"/>
      <c r="E183" s="163"/>
      <c r="F183" s="6"/>
      <c r="G183" s="5"/>
      <c r="H183" s="6"/>
      <c r="I183" s="6" t="e">
        <f>+BUDGET[[#This Row],[Total Cost CHF]]/BUDGET[[#This Row],[Quantity]]</f>
        <v>#DIV/0!</v>
      </c>
      <c r="J183" s="6">
        <f>+BUDGET[[#This Row],[Quantity]]*BUDGET[[#This Row],[Unit
Cost LC]]</f>
        <v>0</v>
      </c>
      <c r="K183" s="6">
        <f>ROUND(+BUDGET[[#This Row],[Total Cost LC]]*RATE,2)</f>
        <v>0</v>
      </c>
      <c r="L183" s="184"/>
    </row>
    <row r="184" spans="1:12" s="32" customFormat="1" outlineLevel="2" x14ac:dyDescent="0.3">
      <c r="A184" s="5" t="s">
        <v>130</v>
      </c>
      <c r="B184" s="188"/>
      <c r="C184" s="154"/>
      <c r="D184" s="154"/>
      <c r="E184" s="163"/>
      <c r="F184" s="6"/>
      <c r="G184" s="5"/>
      <c r="H184" s="6"/>
      <c r="I184" s="6" t="e">
        <f>+BUDGET[[#This Row],[Total Cost CHF]]/BUDGET[[#This Row],[Quantity]]</f>
        <v>#DIV/0!</v>
      </c>
      <c r="J184" s="6">
        <f>+BUDGET[[#This Row],[Quantity]]*BUDGET[[#This Row],[Unit
Cost LC]]</f>
        <v>0</v>
      </c>
      <c r="K184" s="6">
        <f>ROUND(+BUDGET[[#This Row],[Total Cost LC]]*RATE,2)</f>
        <v>0</v>
      </c>
      <c r="L184" s="184"/>
    </row>
    <row r="185" spans="1:12" s="32" customFormat="1" outlineLevel="2" x14ac:dyDescent="0.3">
      <c r="A185" s="5" t="s">
        <v>130</v>
      </c>
      <c r="B185" s="188"/>
      <c r="C185" s="154"/>
      <c r="D185" s="154"/>
      <c r="E185" s="163"/>
      <c r="F185" s="6"/>
      <c r="G185" s="5"/>
      <c r="H185" s="6"/>
      <c r="I185" s="6" t="e">
        <f>+BUDGET[[#This Row],[Total Cost CHF]]/BUDGET[[#This Row],[Quantity]]</f>
        <v>#DIV/0!</v>
      </c>
      <c r="J185" s="6">
        <f>+BUDGET[[#This Row],[Quantity]]*BUDGET[[#This Row],[Unit
Cost LC]]</f>
        <v>0</v>
      </c>
      <c r="K185" s="6">
        <f>ROUND(+BUDGET[[#This Row],[Total Cost LC]]*RATE,2)</f>
        <v>0</v>
      </c>
      <c r="L185" s="184"/>
    </row>
    <row r="186" spans="1:12" s="32" customFormat="1" outlineLevel="2" x14ac:dyDescent="0.3">
      <c r="A186" s="5" t="s">
        <v>130</v>
      </c>
      <c r="B186" s="188"/>
      <c r="C186" s="154"/>
      <c r="D186" s="154"/>
      <c r="E186" s="154"/>
      <c r="F186" s="6"/>
      <c r="G186" s="5"/>
      <c r="H186" s="6"/>
      <c r="I186" s="6" t="e">
        <f>+BUDGET[[#This Row],[Total Cost CHF]]/BUDGET[[#This Row],[Quantity]]</f>
        <v>#DIV/0!</v>
      </c>
      <c r="J186" s="6">
        <f>+BUDGET[[#This Row],[Quantity]]*BUDGET[[#This Row],[Unit
Cost LC]]</f>
        <v>0</v>
      </c>
      <c r="K186" s="6">
        <f>ROUND(+BUDGET[[#This Row],[Total Cost LC]]*RATE,2)</f>
        <v>0</v>
      </c>
      <c r="L186" s="184"/>
    </row>
    <row r="187" spans="1:12" s="32" customFormat="1" outlineLevel="2" x14ac:dyDescent="0.3">
      <c r="A187" s="5" t="s">
        <v>130</v>
      </c>
      <c r="B187" s="188"/>
      <c r="C187" s="154"/>
      <c r="D187" s="154"/>
      <c r="E187" s="163"/>
      <c r="F187" s="6"/>
      <c r="G187" s="5"/>
      <c r="H187" s="6"/>
      <c r="I187" s="6" t="e">
        <f>+BUDGET[[#This Row],[Total Cost CHF]]/BUDGET[[#This Row],[Quantity]]</f>
        <v>#DIV/0!</v>
      </c>
      <c r="J187" s="6">
        <f>+BUDGET[[#This Row],[Quantity]]*BUDGET[[#This Row],[Unit
Cost LC]]</f>
        <v>0</v>
      </c>
      <c r="K187" s="6">
        <f>ROUND(+BUDGET[[#This Row],[Total Cost LC]]*RATE,2)</f>
        <v>0</v>
      </c>
      <c r="L187" s="184"/>
    </row>
    <row r="188" spans="1:12" s="32" customFormat="1" outlineLevel="1" x14ac:dyDescent="0.3">
      <c r="A188" s="91" t="s">
        <v>131</v>
      </c>
      <c r="B188" s="91" t="s">
        <v>132</v>
      </c>
      <c r="C188" s="91"/>
      <c r="D188" s="91"/>
      <c r="E188" s="164"/>
      <c r="F188" s="96"/>
      <c r="G188" s="91"/>
      <c r="H188" s="92" t="s">
        <v>130</v>
      </c>
      <c r="I188" s="92" t="e">
        <f>+BUDGET[[#This Row],[Total Cost CHF]]/BUDGET[[#This Row],[Quantity]]</f>
        <v>#DIV/0!</v>
      </c>
      <c r="J188" s="93">
        <f>SUMIFS(BUDGET[Total Cost LC],BUDGET[Output
Code],BUDGET[[#This Row],[Unit
Cost LC]])</f>
        <v>0</v>
      </c>
      <c r="K188" s="93">
        <f>ROUND(+BUDGET[[#This Row],[Total Cost LC]]*RATE,2)</f>
        <v>0</v>
      </c>
      <c r="L188" s="185"/>
    </row>
    <row r="189" spans="1:12" s="32" customFormat="1" x14ac:dyDescent="0.3">
      <c r="A189" s="94" t="s">
        <v>133</v>
      </c>
      <c r="B189" s="94" t="s">
        <v>134</v>
      </c>
      <c r="C189" s="170"/>
      <c r="D189" s="170"/>
      <c r="E189" s="170"/>
      <c r="F189" s="95"/>
      <c r="G189" s="94"/>
      <c r="H189" s="97"/>
      <c r="I189" s="97" t="e">
        <f>+BUDGET[[#This Row],[Total Cost CHF]]/BUDGET[[#This Row],[Quantity]]</f>
        <v>#DIV/0!</v>
      </c>
      <c r="J189" s="203">
        <f>+J152+J158+J164+J170+J176+J182+J188</f>
        <v>0</v>
      </c>
      <c r="K189" s="203">
        <f>ROUND(+BUDGET[[#This Row],[Total Cost LC]]*RATE,2)</f>
        <v>0</v>
      </c>
      <c r="L189" s="186"/>
    </row>
    <row r="190" spans="1:12" s="32" customFormat="1" outlineLevel="2" x14ac:dyDescent="0.3">
      <c r="A190" s="21" t="s">
        <v>135</v>
      </c>
      <c r="B190" s="188"/>
      <c r="C190" s="154"/>
      <c r="D190" s="154"/>
      <c r="E190" s="163"/>
      <c r="F190" s="6"/>
      <c r="G190" s="5"/>
      <c r="H190" s="6"/>
      <c r="I190" s="6" t="e">
        <f>+BUDGET[[#This Row],[Total Cost CHF]]/BUDGET[[#This Row],[Quantity]]</f>
        <v>#DIV/0!</v>
      </c>
      <c r="J190" s="6">
        <f>+BUDGET[[#This Row],[Quantity]]*BUDGET[[#This Row],[Unit
Cost LC]]</f>
        <v>0</v>
      </c>
      <c r="K190" s="6">
        <f>ROUND(+BUDGET[[#This Row],[Total Cost LC]]*RATE,2)</f>
        <v>0</v>
      </c>
      <c r="L190" s="184"/>
    </row>
    <row r="191" spans="1:12" s="32" customFormat="1" outlineLevel="2" x14ac:dyDescent="0.3">
      <c r="A191" s="5" t="s">
        <v>135</v>
      </c>
      <c r="B191" s="188"/>
      <c r="C191" s="154"/>
      <c r="D191" s="154"/>
      <c r="E191" s="163"/>
      <c r="F191" s="6"/>
      <c r="G191" s="5"/>
      <c r="H191" s="6"/>
      <c r="I191" s="6" t="e">
        <f>+BUDGET[[#This Row],[Total Cost CHF]]/BUDGET[[#This Row],[Quantity]]</f>
        <v>#DIV/0!</v>
      </c>
      <c r="J191" s="6">
        <f>+BUDGET[[#This Row],[Quantity]]*BUDGET[[#This Row],[Unit
Cost LC]]</f>
        <v>0</v>
      </c>
      <c r="K191" s="6">
        <f>ROUND(+BUDGET[[#This Row],[Total Cost LC]]*RATE,2)</f>
        <v>0</v>
      </c>
      <c r="L191" s="184"/>
    </row>
    <row r="192" spans="1:12" s="32" customFormat="1" outlineLevel="2" x14ac:dyDescent="0.3">
      <c r="A192" s="5" t="s">
        <v>135</v>
      </c>
      <c r="B192" s="188"/>
      <c r="C192" s="154"/>
      <c r="D192" s="154"/>
      <c r="E192" s="154"/>
      <c r="F192" s="6"/>
      <c r="G192" s="5"/>
      <c r="H192" s="6"/>
      <c r="I192" s="6" t="e">
        <f>+BUDGET[[#This Row],[Total Cost CHF]]/BUDGET[[#This Row],[Quantity]]</f>
        <v>#DIV/0!</v>
      </c>
      <c r="J192" s="6">
        <f>+BUDGET[[#This Row],[Quantity]]*BUDGET[[#This Row],[Unit
Cost LC]]</f>
        <v>0</v>
      </c>
      <c r="K192" s="6">
        <f>ROUND(+BUDGET[[#This Row],[Total Cost LC]]*RATE,2)</f>
        <v>0</v>
      </c>
      <c r="L192" s="184"/>
    </row>
    <row r="193" spans="1:12" s="32" customFormat="1" outlineLevel="2" x14ac:dyDescent="0.3">
      <c r="A193" s="5" t="s">
        <v>135</v>
      </c>
      <c r="B193" s="188"/>
      <c r="C193" s="154"/>
      <c r="D193" s="154"/>
      <c r="E193" s="163"/>
      <c r="F193" s="6"/>
      <c r="G193" s="5"/>
      <c r="H193" s="6"/>
      <c r="I193" s="6" t="e">
        <f>+BUDGET[[#This Row],[Total Cost CHF]]/BUDGET[[#This Row],[Quantity]]</f>
        <v>#DIV/0!</v>
      </c>
      <c r="J193" s="6">
        <f>+BUDGET[[#This Row],[Quantity]]*BUDGET[[#This Row],[Unit
Cost LC]]</f>
        <v>0</v>
      </c>
      <c r="K193" s="6">
        <f>ROUND(+BUDGET[[#This Row],[Total Cost LC]]*RATE,2)</f>
        <v>0</v>
      </c>
      <c r="L193" s="184"/>
    </row>
    <row r="194" spans="1:12" s="32" customFormat="1" outlineLevel="2" x14ac:dyDescent="0.3">
      <c r="A194" s="5" t="s">
        <v>135</v>
      </c>
      <c r="B194" s="188"/>
      <c r="C194" s="154"/>
      <c r="D194" s="154"/>
      <c r="E194" s="163"/>
      <c r="F194" s="6"/>
      <c r="G194" s="5"/>
      <c r="H194" s="6"/>
      <c r="I194" s="6" t="e">
        <f>+BUDGET[[#This Row],[Total Cost CHF]]/BUDGET[[#This Row],[Quantity]]</f>
        <v>#DIV/0!</v>
      </c>
      <c r="J194" s="6">
        <f>+BUDGET[[#This Row],[Quantity]]*BUDGET[[#This Row],[Unit
Cost LC]]</f>
        <v>0</v>
      </c>
      <c r="K194" s="6">
        <f>ROUND(+BUDGET[[#This Row],[Total Cost LC]]*RATE,2)</f>
        <v>0</v>
      </c>
      <c r="L194" s="184"/>
    </row>
    <row r="195" spans="1:12" s="32" customFormat="1" outlineLevel="1" x14ac:dyDescent="0.3">
      <c r="A195" s="91" t="s">
        <v>136</v>
      </c>
      <c r="B195" s="91" t="s">
        <v>137</v>
      </c>
      <c r="C195" s="91"/>
      <c r="D195" s="91"/>
      <c r="E195" s="164"/>
      <c r="F195" s="96"/>
      <c r="G195" s="91"/>
      <c r="H195" s="92" t="s">
        <v>135</v>
      </c>
      <c r="I195" s="92" t="e">
        <f>+BUDGET[[#This Row],[Total Cost CHF]]/BUDGET[[#This Row],[Quantity]]</f>
        <v>#DIV/0!</v>
      </c>
      <c r="J195" s="93">
        <f>SUMIFS(BUDGET[Total Cost LC],BUDGET[Output
Code],BUDGET[[#This Row],[Unit
Cost LC]])</f>
        <v>0</v>
      </c>
      <c r="K195" s="93">
        <f>ROUND(+BUDGET[[#This Row],[Total Cost LC]]*RATE,2)</f>
        <v>0</v>
      </c>
      <c r="L195" s="185"/>
    </row>
    <row r="196" spans="1:12" s="32" customFormat="1" x14ac:dyDescent="0.3">
      <c r="A196" s="94" t="s">
        <v>138</v>
      </c>
      <c r="B196" s="94" t="s">
        <v>139</v>
      </c>
      <c r="C196" s="94"/>
      <c r="D196" s="94"/>
      <c r="E196" s="165"/>
      <c r="F196" s="95"/>
      <c r="G196" s="94"/>
      <c r="H196" s="97"/>
      <c r="I196" s="97" t="e">
        <f>+BUDGET[[#This Row],[Total Cost CHF]]/BUDGET[[#This Row],[Quantity]]</f>
        <v>#DIV/0!</v>
      </c>
      <c r="J196" s="203">
        <f>+J195</f>
        <v>0</v>
      </c>
      <c r="K196" s="203">
        <f>ROUND(+BUDGET[[#This Row],[Total Cost LC]]*RATE,2)</f>
        <v>0</v>
      </c>
      <c r="L196" s="186"/>
    </row>
    <row r="197" spans="1:12" s="32" customFormat="1" outlineLevel="2" x14ac:dyDescent="0.3">
      <c r="A197" s="21" t="s">
        <v>140</v>
      </c>
      <c r="B197" s="188"/>
      <c r="C197" s="154"/>
      <c r="D197" s="154"/>
      <c r="E197" s="154"/>
      <c r="F197" s="6"/>
      <c r="G197" s="5"/>
      <c r="H197" s="6"/>
      <c r="I197" s="6" t="e">
        <f>+BUDGET[[#This Row],[Total Cost CHF]]/BUDGET[[#This Row],[Quantity]]</f>
        <v>#DIV/0!</v>
      </c>
      <c r="J197" s="6">
        <f>+BUDGET[[#This Row],[Quantity]]*BUDGET[[#This Row],[Unit
Cost LC]]</f>
        <v>0</v>
      </c>
      <c r="K197" s="6">
        <f>ROUND(+BUDGET[[#This Row],[Total Cost LC]]*RATE,2)</f>
        <v>0</v>
      </c>
      <c r="L197" s="184"/>
    </row>
    <row r="198" spans="1:12" s="32" customFormat="1" outlineLevel="2" x14ac:dyDescent="0.3">
      <c r="A198" s="5" t="s">
        <v>140</v>
      </c>
      <c r="B198" s="188"/>
      <c r="C198" s="154"/>
      <c r="D198" s="154"/>
      <c r="E198" s="171"/>
      <c r="F198" s="6"/>
      <c r="G198" s="5"/>
      <c r="H198" s="6"/>
      <c r="I198" s="6" t="e">
        <f>+BUDGET[[#This Row],[Total Cost CHF]]/BUDGET[[#This Row],[Quantity]]</f>
        <v>#DIV/0!</v>
      </c>
      <c r="J198" s="6">
        <f>+BUDGET[[#This Row],[Quantity]]*BUDGET[[#This Row],[Unit
Cost LC]]</f>
        <v>0</v>
      </c>
      <c r="K198" s="6">
        <f>ROUND(+BUDGET[[#This Row],[Total Cost LC]]*RATE,2)</f>
        <v>0</v>
      </c>
      <c r="L198" s="184"/>
    </row>
    <row r="199" spans="1:12" s="32" customFormat="1" outlineLevel="2" x14ac:dyDescent="0.3">
      <c r="A199" s="5" t="s">
        <v>140</v>
      </c>
      <c r="B199" s="188"/>
      <c r="C199" s="154"/>
      <c r="D199" s="154"/>
      <c r="E199" s="171"/>
      <c r="F199" s="6"/>
      <c r="G199" s="5"/>
      <c r="H199" s="6"/>
      <c r="I199" s="6" t="e">
        <f>+BUDGET[[#This Row],[Total Cost CHF]]/BUDGET[[#This Row],[Quantity]]</f>
        <v>#DIV/0!</v>
      </c>
      <c r="J199" s="6">
        <f>+BUDGET[[#This Row],[Quantity]]*BUDGET[[#This Row],[Unit
Cost LC]]</f>
        <v>0</v>
      </c>
      <c r="K199" s="6">
        <f>ROUND(+BUDGET[[#This Row],[Total Cost LC]]*RATE,2)</f>
        <v>0</v>
      </c>
      <c r="L199" s="184"/>
    </row>
    <row r="200" spans="1:12" s="32" customFormat="1" outlineLevel="2" x14ac:dyDescent="0.3">
      <c r="A200" s="5" t="s">
        <v>140</v>
      </c>
      <c r="B200" s="188"/>
      <c r="C200" s="154"/>
      <c r="D200" s="154"/>
      <c r="E200" s="171"/>
      <c r="F200" s="6"/>
      <c r="G200" s="5"/>
      <c r="H200" s="6"/>
      <c r="I200" s="6" t="e">
        <f>+BUDGET[[#This Row],[Total Cost CHF]]/BUDGET[[#This Row],[Quantity]]</f>
        <v>#DIV/0!</v>
      </c>
      <c r="J200" s="6">
        <f>+BUDGET[[#This Row],[Quantity]]*BUDGET[[#This Row],[Unit
Cost LC]]</f>
        <v>0</v>
      </c>
      <c r="K200" s="6">
        <f>ROUND(+BUDGET[[#This Row],[Total Cost LC]]*RATE,2)</f>
        <v>0</v>
      </c>
      <c r="L200" s="184"/>
    </row>
    <row r="201" spans="1:12" s="32" customFormat="1" outlineLevel="2" x14ac:dyDescent="0.3">
      <c r="A201" s="5" t="s">
        <v>140</v>
      </c>
      <c r="B201" s="188"/>
      <c r="C201" s="154"/>
      <c r="D201" s="154"/>
      <c r="E201" s="163"/>
      <c r="F201" s="6"/>
      <c r="G201" s="5"/>
      <c r="H201" s="6"/>
      <c r="I201" s="6" t="e">
        <f>+BUDGET[[#This Row],[Total Cost CHF]]/BUDGET[[#This Row],[Quantity]]</f>
        <v>#DIV/0!</v>
      </c>
      <c r="J201" s="6">
        <f>+BUDGET[[#This Row],[Quantity]]*BUDGET[[#This Row],[Unit
Cost LC]]</f>
        <v>0</v>
      </c>
      <c r="K201" s="6">
        <f>ROUND(+BUDGET[[#This Row],[Total Cost LC]]*RATE,2)</f>
        <v>0</v>
      </c>
      <c r="L201" s="184"/>
    </row>
    <row r="202" spans="1:12" s="32" customFormat="1" outlineLevel="1" x14ac:dyDescent="0.3">
      <c r="A202" s="91" t="s">
        <v>141</v>
      </c>
      <c r="B202" s="91" t="s">
        <v>142</v>
      </c>
      <c r="C202" s="169"/>
      <c r="D202" s="169"/>
      <c r="E202" s="169"/>
      <c r="F202" s="96"/>
      <c r="G202" s="91"/>
      <c r="H202" s="92" t="s">
        <v>140</v>
      </c>
      <c r="I202" s="92" t="e">
        <f>+BUDGET[[#This Row],[Total Cost CHF]]/BUDGET[[#This Row],[Quantity]]</f>
        <v>#DIV/0!</v>
      </c>
      <c r="J202" s="93">
        <f>SUMIFS(BUDGET[Total Cost LC],BUDGET[Output
Code],BUDGET[[#This Row],[Unit
Cost LC]])</f>
        <v>0</v>
      </c>
      <c r="K202" s="93">
        <f>ROUND(+BUDGET[[#This Row],[Total Cost LC]]*RATE,2)</f>
        <v>0</v>
      </c>
      <c r="L202" s="185"/>
    </row>
    <row r="203" spans="1:12" s="32" customFormat="1" outlineLevel="2" x14ac:dyDescent="0.3">
      <c r="A203" s="21" t="s">
        <v>143</v>
      </c>
      <c r="B203" s="188"/>
      <c r="C203" s="154"/>
      <c r="D203" s="154"/>
      <c r="E203" s="154"/>
      <c r="F203" s="6"/>
      <c r="G203" s="5"/>
      <c r="H203" s="6"/>
      <c r="I203" s="6" t="e">
        <f>+BUDGET[[#This Row],[Total Cost CHF]]/BUDGET[[#This Row],[Quantity]]</f>
        <v>#DIV/0!</v>
      </c>
      <c r="J203" s="6">
        <f>+BUDGET[[#This Row],[Quantity]]*BUDGET[[#This Row],[Unit
Cost LC]]</f>
        <v>0</v>
      </c>
      <c r="K203" s="6">
        <f>ROUND(+BUDGET[[#This Row],[Total Cost LC]]*RATE,2)</f>
        <v>0</v>
      </c>
      <c r="L203" s="184"/>
    </row>
    <row r="204" spans="1:12" s="32" customFormat="1" outlineLevel="2" x14ac:dyDescent="0.3">
      <c r="A204" s="5" t="s">
        <v>143</v>
      </c>
      <c r="B204" s="188"/>
      <c r="C204" s="154"/>
      <c r="D204" s="154"/>
      <c r="E204" s="163"/>
      <c r="F204" s="6"/>
      <c r="G204" s="5"/>
      <c r="H204" s="6"/>
      <c r="I204" s="6" t="e">
        <f>+BUDGET[[#This Row],[Total Cost CHF]]/BUDGET[[#This Row],[Quantity]]</f>
        <v>#DIV/0!</v>
      </c>
      <c r="J204" s="6">
        <f>+BUDGET[[#This Row],[Quantity]]*BUDGET[[#This Row],[Unit
Cost LC]]</f>
        <v>0</v>
      </c>
      <c r="K204" s="6">
        <f>ROUND(+BUDGET[[#This Row],[Total Cost LC]]*RATE,2)</f>
        <v>0</v>
      </c>
      <c r="L204" s="184"/>
    </row>
    <row r="205" spans="1:12" s="32" customFormat="1" outlineLevel="2" x14ac:dyDescent="0.3">
      <c r="A205" s="5" t="s">
        <v>143</v>
      </c>
      <c r="B205" s="188"/>
      <c r="C205" s="154"/>
      <c r="D205" s="154"/>
      <c r="E205" s="163"/>
      <c r="F205" s="6"/>
      <c r="G205" s="5"/>
      <c r="H205" s="6"/>
      <c r="I205" s="6" t="e">
        <f>+BUDGET[[#This Row],[Total Cost CHF]]/BUDGET[[#This Row],[Quantity]]</f>
        <v>#DIV/0!</v>
      </c>
      <c r="J205" s="6">
        <f>+BUDGET[[#This Row],[Quantity]]*BUDGET[[#This Row],[Unit
Cost LC]]</f>
        <v>0</v>
      </c>
      <c r="K205" s="6">
        <f>ROUND(+BUDGET[[#This Row],[Total Cost LC]]*RATE,2)</f>
        <v>0</v>
      </c>
      <c r="L205" s="184"/>
    </row>
    <row r="206" spans="1:12" s="32" customFormat="1" outlineLevel="2" x14ac:dyDescent="0.3">
      <c r="A206" s="5" t="s">
        <v>143</v>
      </c>
      <c r="B206" s="188"/>
      <c r="C206" s="154"/>
      <c r="D206" s="154"/>
      <c r="E206" s="154"/>
      <c r="F206" s="6"/>
      <c r="G206" s="5"/>
      <c r="H206" s="6"/>
      <c r="I206" s="6" t="e">
        <f>+BUDGET[[#This Row],[Total Cost CHF]]/BUDGET[[#This Row],[Quantity]]</f>
        <v>#DIV/0!</v>
      </c>
      <c r="J206" s="6">
        <f>+BUDGET[[#This Row],[Quantity]]*BUDGET[[#This Row],[Unit
Cost LC]]</f>
        <v>0</v>
      </c>
      <c r="K206" s="6">
        <f>ROUND(+BUDGET[[#This Row],[Total Cost LC]]*RATE,2)</f>
        <v>0</v>
      </c>
      <c r="L206" s="184"/>
    </row>
    <row r="207" spans="1:12" s="32" customFormat="1" outlineLevel="2" x14ac:dyDescent="0.3">
      <c r="A207" s="5" t="s">
        <v>143</v>
      </c>
      <c r="B207" s="188"/>
      <c r="C207" s="154"/>
      <c r="D207" s="154"/>
      <c r="E207" s="163"/>
      <c r="F207" s="6"/>
      <c r="G207" s="5"/>
      <c r="H207" s="6"/>
      <c r="I207" s="6" t="e">
        <f>+BUDGET[[#This Row],[Total Cost CHF]]/BUDGET[[#This Row],[Quantity]]</f>
        <v>#DIV/0!</v>
      </c>
      <c r="J207" s="6">
        <f>+BUDGET[[#This Row],[Quantity]]*BUDGET[[#This Row],[Unit
Cost LC]]</f>
        <v>0</v>
      </c>
      <c r="K207" s="6">
        <f>ROUND(+BUDGET[[#This Row],[Total Cost LC]]*RATE,2)</f>
        <v>0</v>
      </c>
      <c r="L207" s="184"/>
    </row>
    <row r="208" spans="1:12" s="32" customFormat="1" outlineLevel="1" x14ac:dyDescent="0.3">
      <c r="A208" s="91" t="s">
        <v>144</v>
      </c>
      <c r="B208" s="91" t="s">
        <v>145</v>
      </c>
      <c r="C208" s="169"/>
      <c r="D208" s="169"/>
      <c r="E208" s="169"/>
      <c r="F208" s="96"/>
      <c r="G208" s="91"/>
      <c r="H208" s="92" t="s">
        <v>143</v>
      </c>
      <c r="I208" s="92" t="e">
        <f>+BUDGET[[#This Row],[Total Cost CHF]]/BUDGET[[#This Row],[Quantity]]</f>
        <v>#DIV/0!</v>
      </c>
      <c r="J208" s="93">
        <f>SUMIFS(BUDGET[Total Cost LC],BUDGET[Output
Code],BUDGET[[#This Row],[Unit
Cost LC]])</f>
        <v>0</v>
      </c>
      <c r="K208" s="93">
        <f>ROUND(+BUDGET[[#This Row],[Total Cost LC]]*RATE,2)</f>
        <v>0</v>
      </c>
      <c r="L208" s="185"/>
    </row>
    <row r="209" spans="1:12" s="32" customFormat="1" outlineLevel="2" x14ac:dyDescent="0.3">
      <c r="A209" s="21" t="s">
        <v>146</v>
      </c>
      <c r="B209" s="188"/>
      <c r="C209" s="154"/>
      <c r="D209" s="154"/>
      <c r="E209" s="163"/>
      <c r="F209" s="6"/>
      <c r="G209" s="5"/>
      <c r="H209" s="6"/>
      <c r="I209" s="6" t="e">
        <f>+BUDGET[[#This Row],[Total Cost CHF]]/BUDGET[[#This Row],[Quantity]]</f>
        <v>#DIV/0!</v>
      </c>
      <c r="J209" s="6">
        <f>+BUDGET[[#This Row],[Quantity]]*BUDGET[[#This Row],[Unit
Cost LC]]</f>
        <v>0</v>
      </c>
      <c r="K209" s="6">
        <f>ROUND(+BUDGET[[#This Row],[Total Cost LC]]*RATE,2)</f>
        <v>0</v>
      </c>
      <c r="L209" s="184"/>
    </row>
    <row r="210" spans="1:12" s="32" customFormat="1" outlineLevel="2" x14ac:dyDescent="0.3">
      <c r="A210" s="5" t="s">
        <v>146</v>
      </c>
      <c r="B210" s="188"/>
      <c r="C210" s="154"/>
      <c r="D210" s="154"/>
      <c r="E210" s="163"/>
      <c r="F210" s="6"/>
      <c r="G210" s="5"/>
      <c r="H210" s="6"/>
      <c r="I210" s="6" t="e">
        <f>+BUDGET[[#This Row],[Total Cost CHF]]/BUDGET[[#This Row],[Quantity]]</f>
        <v>#DIV/0!</v>
      </c>
      <c r="J210" s="6">
        <f>+BUDGET[[#This Row],[Quantity]]*BUDGET[[#This Row],[Unit
Cost LC]]</f>
        <v>0</v>
      </c>
      <c r="K210" s="6">
        <f>ROUND(+BUDGET[[#This Row],[Total Cost LC]]*RATE,2)</f>
        <v>0</v>
      </c>
      <c r="L210" s="184"/>
    </row>
    <row r="211" spans="1:12" s="32" customFormat="1" outlineLevel="2" x14ac:dyDescent="0.3">
      <c r="A211" s="5" t="s">
        <v>146</v>
      </c>
      <c r="B211" s="188"/>
      <c r="C211" s="154"/>
      <c r="D211" s="154"/>
      <c r="E211" s="154"/>
      <c r="F211" s="6"/>
      <c r="G211" s="5"/>
      <c r="H211" s="6"/>
      <c r="I211" s="6" t="e">
        <f>+BUDGET[[#This Row],[Total Cost CHF]]/BUDGET[[#This Row],[Quantity]]</f>
        <v>#DIV/0!</v>
      </c>
      <c r="J211" s="6">
        <f>+BUDGET[[#This Row],[Quantity]]*BUDGET[[#This Row],[Unit
Cost LC]]</f>
        <v>0</v>
      </c>
      <c r="K211" s="6">
        <f>ROUND(+BUDGET[[#This Row],[Total Cost LC]]*RATE,2)</f>
        <v>0</v>
      </c>
      <c r="L211" s="184"/>
    </row>
    <row r="212" spans="1:12" s="32" customFormat="1" outlineLevel="2" x14ac:dyDescent="0.3">
      <c r="A212" s="5" t="s">
        <v>146</v>
      </c>
      <c r="B212" s="188"/>
      <c r="C212" s="154"/>
      <c r="D212" s="154"/>
      <c r="E212" s="163"/>
      <c r="F212" s="6"/>
      <c r="G212" s="5"/>
      <c r="H212" s="6"/>
      <c r="I212" s="6" t="e">
        <f>+BUDGET[[#This Row],[Total Cost CHF]]/BUDGET[[#This Row],[Quantity]]</f>
        <v>#DIV/0!</v>
      </c>
      <c r="J212" s="6">
        <f>+BUDGET[[#This Row],[Quantity]]*BUDGET[[#This Row],[Unit
Cost LC]]</f>
        <v>0</v>
      </c>
      <c r="K212" s="6">
        <f>ROUND(+BUDGET[[#This Row],[Total Cost LC]]*RATE,2)</f>
        <v>0</v>
      </c>
      <c r="L212" s="184"/>
    </row>
    <row r="213" spans="1:12" s="32" customFormat="1" outlineLevel="2" x14ac:dyDescent="0.3">
      <c r="A213" s="5" t="s">
        <v>146</v>
      </c>
      <c r="B213" s="188"/>
      <c r="C213" s="154"/>
      <c r="D213" s="154"/>
      <c r="E213" s="163"/>
      <c r="F213" s="6"/>
      <c r="G213" s="5"/>
      <c r="H213" s="6"/>
      <c r="I213" s="6" t="e">
        <f>+BUDGET[[#This Row],[Total Cost CHF]]/BUDGET[[#This Row],[Quantity]]</f>
        <v>#DIV/0!</v>
      </c>
      <c r="J213" s="6">
        <f>+BUDGET[[#This Row],[Quantity]]*BUDGET[[#This Row],[Unit
Cost LC]]</f>
        <v>0</v>
      </c>
      <c r="K213" s="6">
        <f>ROUND(+BUDGET[[#This Row],[Total Cost LC]]*RATE,2)</f>
        <v>0</v>
      </c>
      <c r="L213" s="184"/>
    </row>
    <row r="214" spans="1:12" s="32" customFormat="1" outlineLevel="1" x14ac:dyDescent="0.3">
      <c r="A214" s="91" t="s">
        <v>147</v>
      </c>
      <c r="B214" s="91" t="s">
        <v>148</v>
      </c>
      <c r="C214" s="91"/>
      <c r="D214" s="91"/>
      <c r="E214" s="164"/>
      <c r="F214" s="96"/>
      <c r="G214" s="91"/>
      <c r="H214" s="92" t="s">
        <v>146</v>
      </c>
      <c r="I214" s="92" t="e">
        <f>+BUDGET[[#This Row],[Total Cost CHF]]/BUDGET[[#This Row],[Quantity]]</f>
        <v>#DIV/0!</v>
      </c>
      <c r="J214" s="93">
        <f>SUMIFS(BUDGET[Total Cost LC],BUDGET[Output
Code],BUDGET[[#This Row],[Unit
Cost LC]])</f>
        <v>0</v>
      </c>
      <c r="K214" s="93">
        <f>ROUND(+BUDGET[[#This Row],[Total Cost LC]]*RATE,2)</f>
        <v>0</v>
      </c>
      <c r="L214" s="185"/>
    </row>
    <row r="215" spans="1:12" s="32" customFormat="1" x14ac:dyDescent="0.3">
      <c r="A215" s="94" t="s">
        <v>149</v>
      </c>
      <c r="B215" s="94" t="s">
        <v>142</v>
      </c>
      <c r="C215" s="170"/>
      <c r="D215" s="170"/>
      <c r="E215" s="170"/>
      <c r="F215" s="95"/>
      <c r="G215" s="94"/>
      <c r="H215" s="97"/>
      <c r="I215" s="97" t="e">
        <f>+BUDGET[[#This Row],[Total Cost CHF]]/BUDGET[[#This Row],[Quantity]]</f>
        <v>#DIV/0!</v>
      </c>
      <c r="J215" s="203">
        <f>+J202+J208+J214</f>
        <v>0</v>
      </c>
      <c r="K215" s="203">
        <f>ROUND(+BUDGET[[#This Row],[Total Cost LC]]*RATE,2)</f>
        <v>0</v>
      </c>
      <c r="L215" s="186"/>
    </row>
    <row r="216" spans="1:12" s="21" customFormat="1" ht="16.5" customHeight="1" x14ac:dyDescent="0.3">
      <c r="A216" s="33"/>
      <c r="B216" s="34" t="s">
        <v>150</v>
      </c>
      <c r="C216" s="34"/>
      <c r="D216" s="34"/>
      <c r="E216" s="166"/>
      <c r="F216" s="81"/>
      <c r="G216" s="33"/>
      <c r="H216" s="81"/>
      <c r="I216" s="81"/>
      <c r="J216" s="204">
        <f>+J15+J22+J29+J48+J61+J80+J87+J101+J132+J139+J146+J189+J196+J215</f>
        <v>0</v>
      </c>
      <c r="K216" s="204">
        <f>+K15+K22+K29+K48+K61+K80+K87+K101+K132+K139+K146+K189+K196+K215</f>
        <v>0</v>
      </c>
      <c r="L216" s="187"/>
    </row>
    <row r="217" spans="1:12" s="21" customFormat="1" ht="16.5" customHeight="1" x14ac:dyDescent="0.3">
      <c r="A217" s="35"/>
      <c r="B217" s="36" t="s">
        <v>151</v>
      </c>
      <c r="C217" s="36"/>
      <c r="D217" s="36"/>
      <c r="E217" s="167"/>
      <c r="F217" s="82"/>
      <c r="G217" s="37"/>
      <c r="H217" s="82"/>
      <c r="I217" s="82"/>
      <c r="J217" s="38">
        <f>ROUND(BUDGET[[#Totals],[Total Cost LC]]*6.5/100,2)</f>
        <v>0</v>
      </c>
      <c r="K217" s="38">
        <f>ROUND(BUDGET[[#Totals],[Total Cost CHF]]*6.5/100,2)</f>
        <v>0</v>
      </c>
      <c r="L217" s="39"/>
    </row>
    <row r="218" spans="1:12" s="21" customFormat="1" ht="16.5" customHeight="1" x14ac:dyDescent="0.3">
      <c r="A218" s="27"/>
      <c r="B218" s="28" t="s">
        <v>152</v>
      </c>
      <c r="C218" s="28"/>
      <c r="D218" s="28"/>
      <c r="E218" s="168"/>
      <c r="F218" s="83"/>
      <c r="G218" s="29"/>
      <c r="H218" s="98"/>
      <c r="I218" s="98"/>
      <c r="J218" s="30">
        <f>+BUDGET[[#Totals],[Total Cost LC]]+J217</f>
        <v>0</v>
      </c>
      <c r="K218" s="30">
        <f>+BUDGET[[#Totals],[Total Cost CHF]]+K217</f>
        <v>0</v>
      </c>
      <c r="L218" s="31"/>
    </row>
  </sheetData>
  <sheetProtection algorithmName="SHA-512" hashValue="38RMsJGI4hJFGdlOzny+yUHoDgIffXUgie+QVgV5SEzPxxxbfeAyjpZ3W12A5axbjjPXnC1ahIVXWBKcWmS4tw==" saltValue="ejq46201AP6h/DbJK5VBzA==" spinCount="100000" sheet="1" objects="1" scenarios="1" formatColumns="0" insertRows="0" deleteRows="0" selectLockedCells="1" autoFilter="0"/>
  <sortState xmlns:xlrd2="http://schemas.microsoft.com/office/spreadsheetml/2017/richdata2" ref="A9:K145">
    <sortCondition ref="B9:B145"/>
  </sortState>
  <mergeCells count="3">
    <mergeCell ref="C7:E7"/>
    <mergeCell ref="A5:B5"/>
    <mergeCell ref="C5:F5"/>
  </mergeCells>
  <conditionalFormatting sqref="A204:A208 A210:A215 A120:A164 A177:A196 A9:A113 A198:A202">
    <cfRule type="containsBlanks" dxfId="54" priority="14">
      <formula>LEN(TRIM(A9))=0</formula>
    </cfRule>
  </conditionalFormatting>
  <conditionalFormatting sqref="A197">
    <cfRule type="containsBlanks" dxfId="53" priority="10">
      <formula>LEN(TRIM(A197))=0</formula>
    </cfRule>
  </conditionalFormatting>
  <conditionalFormatting sqref="A203">
    <cfRule type="containsBlanks" dxfId="52" priority="9">
      <formula>LEN(TRIM(A203))=0</formula>
    </cfRule>
  </conditionalFormatting>
  <conditionalFormatting sqref="A209">
    <cfRule type="containsBlanks" dxfId="51" priority="8">
      <formula>LEN(TRIM(A209))=0</formula>
    </cfRule>
  </conditionalFormatting>
  <conditionalFormatting sqref="A114:A119">
    <cfRule type="containsBlanks" dxfId="50" priority="7">
      <formula>LEN(TRIM(A114))=0</formula>
    </cfRule>
  </conditionalFormatting>
  <conditionalFormatting sqref="A165:A170">
    <cfRule type="containsBlanks" dxfId="49" priority="6">
      <formula>LEN(TRIM(A165))=0</formula>
    </cfRule>
  </conditionalFormatting>
  <conditionalFormatting sqref="A171:A176">
    <cfRule type="containsBlanks" dxfId="48" priority="5">
      <formula>LEN(TRIM(A171))=0</formula>
    </cfRule>
  </conditionalFormatting>
  <dataValidations count="3">
    <dataValidation type="list" allowBlank="1" showInputMessage="1" showErrorMessage="1" sqref="C214:C215" xr:uid="{C632E444-79C1-4922-BB22-61038B3D3D4A}">
      <formula1>"Anticipatory Actions, Immediate Response, Response"</formula1>
    </dataValidation>
    <dataValidation type="list" allowBlank="1" showInputMessage="1" showErrorMessage="1" sqref="D9:D215" xr:uid="{DA320D95-2414-44D4-8CE0-51A1CC863BC1}">
      <formula1>"National Society, IFRC"</formula1>
    </dataValidation>
    <dataValidation type="list" allowBlank="1" showInputMessage="1" showErrorMessage="1" sqref="C9:C213" xr:uid="{6CFBF301-64F4-42C3-B5A4-8DB003A91279}">
      <formula1>"Early Actions, Early Response, Response"</formula1>
    </dataValidation>
  </dataValidations>
  <pageMargins left="0.39370078740157483" right="0.39370078740157483" top="0.39370078740157483" bottom="0.74803149606299213" header="0.31496062992125984" footer="0.31496062992125984"/>
  <pageSetup paperSize="9" scale="73" fitToHeight="0" orientation="landscape" horizontalDpi="1200" verticalDpi="1200" r:id="rId1"/>
  <headerFooter>
    <oddFooter>Page &amp;P of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7F958B-3F9F-48CC-BC14-7A352B53DCDA}">
          <x14:formula1>
            <xm:f>budget_groups!$A$4:$A$54</xm:f>
          </x14:formula1>
          <xm:sqref>E9:E215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0B97-A43A-43B7-8201-523BE176ABE3}">
  <sheetPr codeName="Sheet2">
    <tabColor rgb="FFF5333F"/>
  </sheetPr>
  <dimension ref="A1:I29"/>
  <sheetViews>
    <sheetView showGridLines="0" tabSelected="1" view="pageBreakPreview" zoomScaleNormal="100" zoomScaleSheetLayoutView="100" workbookViewId="0">
      <selection activeCell="E2" sqref="E2"/>
    </sheetView>
  </sheetViews>
  <sheetFormatPr defaultColWidth="9.140625" defaultRowHeight="16.5" x14ac:dyDescent="0.3"/>
  <cols>
    <col min="1" max="1" width="6" style="1" customWidth="1"/>
    <col min="2" max="2" width="40.7109375" style="1" customWidth="1"/>
    <col min="3" max="3" width="8.42578125" style="1" customWidth="1"/>
    <col min="4" max="4" width="14.85546875" style="1" customWidth="1"/>
    <col min="5" max="5" width="19.42578125" style="1" customWidth="1"/>
    <col min="6" max="7" width="9.140625" style="1"/>
    <col min="8" max="8" width="17.42578125" style="1" customWidth="1"/>
    <col min="9" max="16384" width="9.140625" style="1"/>
  </cols>
  <sheetData>
    <row r="1" spans="1:9" x14ac:dyDescent="0.3">
      <c r="A1" s="15"/>
    </row>
    <row r="2" spans="1:9" ht="33" x14ac:dyDescent="0.6">
      <c r="E2" s="100" t="s">
        <v>153</v>
      </c>
    </row>
    <row r="3" spans="1:9" ht="9.75" customHeight="1" x14ac:dyDescent="0.3"/>
    <row r="4" spans="1:9" ht="25.5" customHeight="1" x14ac:dyDescent="0.4">
      <c r="E4" s="101" t="str">
        <f>_xlfn.CONCAT(APP_CODE," - ",NS_NAME)</f>
        <v>Code - Country National Society</v>
      </c>
    </row>
    <row r="5" spans="1:9" ht="21.75" x14ac:dyDescent="0.4">
      <c r="E5" s="101" t="str">
        <f>_xlfn.CONCAT(OPERATION)</f>
        <v>Operation Name</v>
      </c>
    </row>
    <row r="9" spans="1:9" x14ac:dyDescent="0.3">
      <c r="A9" s="123" t="s">
        <v>154</v>
      </c>
    </row>
    <row r="10" spans="1:9" x14ac:dyDescent="0.3">
      <c r="H10" s="222" t="s">
        <v>155</v>
      </c>
    </row>
    <row r="11" spans="1:9" s="2" customFormat="1" ht="21" x14ac:dyDescent="0.25">
      <c r="A11" s="124" t="s">
        <v>156</v>
      </c>
      <c r="B11" s="125"/>
      <c r="C11" s="125"/>
      <c r="D11" s="126"/>
      <c r="E11" s="127">
        <f>SUM(E12:E22)</f>
        <v>0</v>
      </c>
      <c r="H11" s="218">
        <f>SUM(H12:H22)</f>
        <v>0</v>
      </c>
      <c r="I11" s="218">
        <f t="shared" ref="I11:I26" si="0">+E11-H11</f>
        <v>0</v>
      </c>
    </row>
    <row r="12" spans="1:9" s="2" customFormat="1" ht="18" customHeight="1" x14ac:dyDescent="0.25">
      <c r="A12" s="128" t="s">
        <v>30</v>
      </c>
      <c r="B12" s="2" t="s">
        <v>31</v>
      </c>
      <c r="D12" s="129"/>
      <c r="E12" s="145">
        <f>CHF_PO01</f>
        <v>0</v>
      </c>
      <c r="H12" s="219">
        <f>+CHF_PO01</f>
        <v>0</v>
      </c>
      <c r="I12" s="219">
        <f t="shared" si="0"/>
        <v>0</v>
      </c>
    </row>
    <row r="13" spans="1:9" s="2" customFormat="1" ht="18" customHeight="1" x14ac:dyDescent="0.25">
      <c r="A13" s="128" t="s">
        <v>35</v>
      </c>
      <c r="B13" s="2" t="s">
        <v>36</v>
      </c>
      <c r="D13" s="129"/>
      <c r="E13" s="145">
        <f>CHF_PO02</f>
        <v>0</v>
      </c>
      <c r="H13" s="219">
        <f>+CHF_PO02</f>
        <v>0</v>
      </c>
      <c r="I13" s="219">
        <f t="shared" si="0"/>
        <v>0</v>
      </c>
    </row>
    <row r="14" spans="1:9" s="2" customFormat="1" ht="18" customHeight="1" x14ac:dyDescent="0.25">
      <c r="A14" s="128" t="s">
        <v>40</v>
      </c>
      <c r="B14" s="2" t="s">
        <v>41</v>
      </c>
      <c r="D14" s="129"/>
      <c r="E14" s="145">
        <f>CHF_PO03</f>
        <v>0</v>
      </c>
      <c r="H14" s="219">
        <f>+CHF_PO03</f>
        <v>0</v>
      </c>
      <c r="I14" s="219">
        <f t="shared" si="0"/>
        <v>0</v>
      </c>
    </row>
    <row r="15" spans="1:9" s="2" customFormat="1" ht="18" customHeight="1" x14ac:dyDescent="0.25">
      <c r="A15" s="128" t="s">
        <v>51</v>
      </c>
      <c r="B15" s="2" t="s">
        <v>52</v>
      </c>
      <c r="D15" s="129"/>
      <c r="E15" s="145">
        <f>CHF_PO04</f>
        <v>0</v>
      </c>
      <c r="H15" s="219">
        <f>+CHF_PO04</f>
        <v>0</v>
      </c>
      <c r="I15" s="219">
        <f t="shared" si="0"/>
        <v>0</v>
      </c>
    </row>
    <row r="16" spans="1:9" s="2" customFormat="1" ht="18" customHeight="1" x14ac:dyDescent="0.25">
      <c r="A16" s="128" t="s">
        <v>59</v>
      </c>
      <c r="B16" s="2" t="s">
        <v>60</v>
      </c>
      <c r="D16" s="129"/>
      <c r="E16" s="145">
        <f>CHF_PO05</f>
        <v>0</v>
      </c>
      <c r="H16" s="219">
        <f>+CHF_PO05</f>
        <v>0</v>
      </c>
      <c r="I16" s="219">
        <f t="shared" si="0"/>
        <v>0</v>
      </c>
    </row>
    <row r="17" spans="1:9" s="2" customFormat="1" ht="18" customHeight="1" x14ac:dyDescent="0.25">
      <c r="A17" s="128" t="s">
        <v>70</v>
      </c>
      <c r="B17" s="2" t="s">
        <v>71</v>
      </c>
      <c r="D17" s="129"/>
      <c r="E17" s="145">
        <f>CHF_PO06</f>
        <v>0</v>
      </c>
      <c r="H17" s="219">
        <f>+CHF_PO06</f>
        <v>0</v>
      </c>
      <c r="I17" s="219">
        <f t="shared" si="0"/>
        <v>0</v>
      </c>
    </row>
    <row r="18" spans="1:9" s="2" customFormat="1" ht="18" customHeight="1" x14ac:dyDescent="0.25">
      <c r="A18" s="128" t="s">
        <v>75</v>
      </c>
      <c r="B18" s="2" t="s">
        <v>76</v>
      </c>
      <c r="D18" s="129"/>
      <c r="E18" s="145">
        <f>CHF_PO07</f>
        <v>0</v>
      </c>
      <c r="H18" s="219">
        <f>+CHF_PO07</f>
        <v>0</v>
      </c>
      <c r="I18" s="219">
        <f t="shared" si="0"/>
        <v>0</v>
      </c>
    </row>
    <row r="19" spans="1:9" s="2" customFormat="1" ht="18" customHeight="1" x14ac:dyDescent="0.25">
      <c r="A19" s="128" t="s">
        <v>83</v>
      </c>
      <c r="B19" s="2" t="s">
        <v>84</v>
      </c>
      <c r="D19" s="129"/>
      <c r="E19" s="145">
        <f>CHF_PO08</f>
        <v>0</v>
      </c>
      <c r="H19" s="219">
        <f>+CHF_PO08</f>
        <v>0</v>
      </c>
      <c r="I19" s="219">
        <f t="shared" si="0"/>
        <v>0</v>
      </c>
    </row>
    <row r="20" spans="1:9" s="2" customFormat="1" ht="18" customHeight="1" x14ac:dyDescent="0.25">
      <c r="A20" s="128" t="s">
        <v>100</v>
      </c>
      <c r="B20" s="2" t="s">
        <v>101</v>
      </c>
      <c r="D20" s="129"/>
      <c r="E20" s="145">
        <f>CHF_PO09</f>
        <v>0</v>
      </c>
      <c r="H20" s="219">
        <f>+CHF_PO09</f>
        <v>0</v>
      </c>
      <c r="I20" s="219">
        <f t="shared" si="0"/>
        <v>0</v>
      </c>
    </row>
    <row r="21" spans="1:9" s="2" customFormat="1" ht="18" customHeight="1" x14ac:dyDescent="0.25">
      <c r="A21" s="128" t="s">
        <v>105</v>
      </c>
      <c r="B21" s="2" t="s">
        <v>106</v>
      </c>
      <c r="D21" s="129"/>
      <c r="E21" s="145" cm="1">
        <f t="array" ref="E21">CHF_PO10</f>
        <v>0</v>
      </c>
      <c r="H21" s="219">
        <f>+CHF_PO10</f>
        <v>0</v>
      </c>
      <c r="I21" s="219">
        <f t="shared" si="0"/>
        <v>0</v>
      </c>
    </row>
    <row r="22" spans="1:9" s="2" customFormat="1" ht="18" customHeight="1" x14ac:dyDescent="0.3">
      <c r="A22" s="128" t="s">
        <v>110</v>
      </c>
      <c r="B22" s="2" t="s">
        <v>111</v>
      </c>
      <c r="D22" s="129"/>
      <c r="E22" s="145">
        <f>CHF_PO11</f>
        <v>0</v>
      </c>
      <c r="H22" s="212">
        <f>+CHF_PO11</f>
        <v>0</v>
      </c>
      <c r="I22" s="212">
        <f t="shared" si="0"/>
        <v>0</v>
      </c>
    </row>
    <row r="23" spans="1:9" s="2" customFormat="1" ht="21" x14ac:dyDescent="0.25">
      <c r="A23" s="124" t="s">
        <v>157</v>
      </c>
      <c r="B23" s="125"/>
      <c r="C23" s="125"/>
      <c r="D23" s="126"/>
      <c r="E23" s="127">
        <f>SUM(E24:E26)</f>
        <v>0</v>
      </c>
      <c r="H23" s="218">
        <f>SUM(H24:H26)</f>
        <v>0</v>
      </c>
      <c r="I23" s="218">
        <f t="shared" si="0"/>
        <v>0</v>
      </c>
    </row>
    <row r="24" spans="1:9" s="2" customFormat="1" ht="18.75" customHeight="1" x14ac:dyDescent="0.25">
      <c r="A24" s="128" t="s">
        <v>133</v>
      </c>
      <c r="B24" s="2" t="s">
        <v>134</v>
      </c>
      <c r="D24" s="129"/>
      <c r="E24" s="145">
        <f>CHF_EA01</f>
        <v>0</v>
      </c>
      <c r="H24" s="219">
        <f>+CHF_EA01</f>
        <v>0</v>
      </c>
      <c r="I24" s="219">
        <f t="shared" si="0"/>
        <v>0</v>
      </c>
    </row>
    <row r="25" spans="1:9" s="2" customFormat="1" ht="18.75" customHeight="1" x14ac:dyDescent="0.25">
      <c r="A25" s="128" t="s">
        <v>138</v>
      </c>
      <c r="B25" s="2" t="s">
        <v>139</v>
      </c>
      <c r="D25" s="129"/>
      <c r="E25" s="145">
        <f>CHF_EA02</f>
        <v>0</v>
      </c>
      <c r="H25" s="219">
        <f>+CHF_EA02</f>
        <v>0</v>
      </c>
      <c r="I25" s="219">
        <f t="shared" si="0"/>
        <v>0</v>
      </c>
    </row>
    <row r="26" spans="1:9" s="2" customFormat="1" ht="18.75" customHeight="1" x14ac:dyDescent="0.25">
      <c r="A26" s="128" t="s">
        <v>149</v>
      </c>
      <c r="B26" s="2" t="s">
        <v>158</v>
      </c>
      <c r="D26" s="129"/>
      <c r="E26" s="145">
        <f>CHF_EA03</f>
        <v>0</v>
      </c>
      <c r="H26" s="219">
        <f>+CHF_EA03</f>
        <v>0</v>
      </c>
      <c r="I26" s="219">
        <f t="shared" si="0"/>
        <v>0</v>
      </c>
    </row>
    <row r="27" spans="1:9" x14ac:dyDescent="0.3">
      <c r="E27" s="146"/>
      <c r="H27" s="220" t="s">
        <v>159</v>
      </c>
      <c r="I27" s="220"/>
    </row>
    <row r="28" spans="1:9" ht="22.5" x14ac:dyDescent="0.4">
      <c r="A28" s="130"/>
      <c r="B28" s="130" t="s">
        <v>160</v>
      </c>
      <c r="C28" s="130"/>
      <c r="D28" s="130"/>
      <c r="E28" s="131">
        <f>+E11+E23</f>
        <v>0</v>
      </c>
      <c r="H28" s="221">
        <f>+TOT_BUDGET</f>
        <v>0</v>
      </c>
      <c r="I28" s="221">
        <f>+E28-H28</f>
        <v>0</v>
      </c>
    </row>
    <row r="29" spans="1:9" x14ac:dyDescent="0.3">
      <c r="A29" s="132" t="s">
        <v>161</v>
      </c>
    </row>
  </sheetData>
  <sheetProtection algorithmName="SHA-512" hashValue="PmLc8Zt3K37zb6g1UcDUeswoHXs45wv6yg7Bi3A2q7hjXbnvX+8WDHex4jYQ6xcQsoFMYvz+rWzwQxCotti70Q==" saltValue="XkA21H5+p/Hq1e1Tbc7pmA==" spinCount="100000" sheet="1" objects="1" scenarios="1"/>
  <conditionalFormatting sqref="I11:I28">
    <cfRule type="cellIs" dxfId="20" priority="1" operator="notBetween">
      <formula>-0.5</formula>
      <formula>0.5</formula>
    </cfRule>
  </conditionalFormatting>
  <pageMargins left="0.59055118110236227" right="0.59055118110236227" top="0.74803149606299213" bottom="0.74803149606299213" header="0.31496062992125984" footer="0.31496062992125984"/>
  <pageSetup paperSize="9" orientation="portrait" r:id="rId1"/>
  <headerFooter>
    <oddFooter>&amp;C&amp;K00-049&amp;D&amp;R&amp;"Arial,Regular"&amp;9&amp;K00-049#V2022.01&amp;L&amp;1#&amp;"Calibri"&amp;10&amp;K000000Internal</oddFooter>
  </headerFooter>
  <ignoredErrors>
    <ignoredError sqref="E23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D3F59-6352-4A75-B756-0C16B0B8168A}">
  <sheetPr codeName="Sheet9">
    <tabColor rgb="FF011E41"/>
    <pageSetUpPr fitToPage="1"/>
  </sheetPr>
  <dimension ref="A1:I62"/>
  <sheetViews>
    <sheetView showGridLines="0" view="pageBreakPreview" zoomScale="107" zoomScaleNormal="100" zoomScaleSheetLayoutView="107" workbookViewId="0">
      <selection activeCell="E2" sqref="E2"/>
    </sheetView>
  </sheetViews>
  <sheetFormatPr defaultColWidth="9.140625" defaultRowHeight="16.5" x14ac:dyDescent="0.3"/>
  <cols>
    <col min="1" max="1" width="1.85546875" style="1" customWidth="1"/>
    <col min="2" max="2" width="7.5703125" style="1" customWidth="1"/>
    <col min="3" max="3" width="34.7109375" style="1" customWidth="1"/>
    <col min="4" max="4" width="21.28515625" style="1" customWidth="1"/>
    <col min="5" max="5" width="20.42578125" style="1" customWidth="1"/>
    <col min="6" max="6" width="9.7109375" style="1" customWidth="1"/>
    <col min="7" max="7" width="9.140625" style="1"/>
    <col min="8" max="9" width="14.42578125" style="205" customWidth="1"/>
    <col min="10" max="16384" width="9.140625" style="1"/>
  </cols>
  <sheetData>
    <row r="1" spans="1:9" x14ac:dyDescent="0.3">
      <c r="A1" s="15"/>
    </row>
    <row r="2" spans="1:9" ht="33" x14ac:dyDescent="0.6">
      <c r="E2" s="100" t="s">
        <v>153</v>
      </c>
    </row>
    <row r="3" spans="1:9" ht="9" customHeight="1" x14ac:dyDescent="0.3"/>
    <row r="4" spans="1:9" ht="25.5" customHeight="1" x14ac:dyDescent="0.4">
      <c r="E4" s="101" t="str">
        <f>_xlfn.CONCAT(APP_CODE," - ",NS_NAME)</f>
        <v>Code - Country National Society</v>
      </c>
      <c r="H4" s="1"/>
    </row>
    <row r="5" spans="1:9" ht="22.9" customHeight="1" x14ac:dyDescent="0.4">
      <c r="E5" s="101" t="str">
        <f>_xlfn.CONCAT(OPERATION)</f>
        <v>Operation Name</v>
      </c>
      <c r="H5" s="207">
        <f>SUMIFS(BUDGET[[#Headers],[#Data],[Total Cost CHF]],BUDGET[[#Headers],[#Data],[Output
Code]],"")</f>
        <v>0</v>
      </c>
      <c r="I5" s="217" t="str">
        <f>IF(H5=0,"","CHECK BUDGET LINES WITHOUT AP CODE")</f>
        <v/>
      </c>
    </row>
    <row r="6" spans="1:9" ht="19.149999999999999" customHeight="1" x14ac:dyDescent="0.4">
      <c r="E6" s="101"/>
    </row>
    <row r="7" spans="1:9" x14ac:dyDescent="0.3">
      <c r="A7" s="123" t="s">
        <v>162</v>
      </c>
      <c r="D7" s="133"/>
      <c r="E7" s="133"/>
      <c r="H7" s="222" t="s">
        <v>155</v>
      </c>
    </row>
    <row r="8" spans="1:9" s="73" customFormat="1" ht="15.6" customHeight="1" x14ac:dyDescent="0.3">
      <c r="A8" s="87"/>
      <c r="E8" s="151" t="s">
        <v>163</v>
      </c>
      <c r="H8" s="212" t="s">
        <v>164</v>
      </c>
      <c r="I8" s="212" t="s">
        <v>165</v>
      </c>
    </row>
    <row r="9" spans="1:9" s="136" customFormat="1" ht="17.25" customHeight="1" x14ac:dyDescent="0.25">
      <c r="A9" s="134" t="s">
        <v>156</v>
      </c>
      <c r="B9" s="134"/>
      <c r="C9" s="134"/>
      <c r="D9" s="149">
        <f>+D10+D12+D14+D16+D20+D23+D27+D29+D32+D38+D40</f>
        <v>0</v>
      </c>
      <c r="E9" s="135">
        <f>+E10+E12+E14+E16+E20+E23+E27+E29+E32+E38+E40</f>
        <v>0</v>
      </c>
      <c r="H9" s="213">
        <f>+H10+H12+H14+H16+H20+H23+H27+H29+H32+H38+H40</f>
        <v>0</v>
      </c>
      <c r="I9" s="213">
        <f>+I10+I12+I14+I16+I20+I23+I27+I29+I32+I38+I40</f>
        <v>0</v>
      </c>
    </row>
    <row r="10" spans="1:9" s="2" customFormat="1" ht="13.5" customHeight="1" x14ac:dyDescent="0.25">
      <c r="A10" s="128" t="s">
        <v>30</v>
      </c>
      <c r="B10" s="137" t="s">
        <v>31</v>
      </c>
      <c r="C10" s="137"/>
      <c r="D10" s="147">
        <f>SUM(D11)</f>
        <v>0</v>
      </c>
      <c r="E10" s="138">
        <f>SUM(E11)</f>
        <v>0</v>
      </c>
      <c r="H10" s="214">
        <f>SUM(H11)</f>
        <v>0</v>
      </c>
      <c r="I10" s="214">
        <f>SUM(I11)</f>
        <v>0</v>
      </c>
    </row>
    <row r="11" spans="1:9" s="108" customFormat="1" ht="13.5" customHeight="1" x14ac:dyDescent="0.25">
      <c r="A11" s="139"/>
      <c r="B11" s="108" t="s">
        <v>27</v>
      </c>
      <c r="C11" s="108" t="s">
        <v>29</v>
      </c>
      <c r="D11" s="148"/>
      <c r="E11" s="228">
        <f>ROUND(SUMIFS(BUDGET[[#Headers],[#Data],[Total Cost CHF]],BUDGET[[#Headers],[#Data],[Output
Code]],B11)*106.5/100,2)</f>
        <v>0</v>
      </c>
      <c r="H11" s="215">
        <f>ROUND(SUMIFS(BUDGET[[#Headers],[#Data],[Total Cost CHF]],BUDGET[[#Headers],[#Data],[Output
Code]],B11)*106.5/100,2)</f>
        <v>0</v>
      </c>
      <c r="I11" s="215">
        <f>+E11-H11</f>
        <v>0</v>
      </c>
    </row>
    <row r="12" spans="1:9" s="2" customFormat="1" ht="13.5" customHeight="1" x14ac:dyDescent="0.25">
      <c r="A12" s="128" t="s">
        <v>35</v>
      </c>
      <c r="B12" s="140" t="s">
        <v>36</v>
      </c>
      <c r="C12" s="140"/>
      <c r="D12" s="147">
        <f>SUM(D13)</f>
        <v>0</v>
      </c>
      <c r="E12" s="138">
        <f>SUM(E13)</f>
        <v>0</v>
      </c>
      <c r="H12" s="214">
        <f>SUM(H13)</f>
        <v>0</v>
      </c>
      <c r="I12" s="214">
        <f>SUM(I13)</f>
        <v>0</v>
      </c>
    </row>
    <row r="13" spans="1:9" s="108" customFormat="1" ht="13.5" customHeight="1" x14ac:dyDescent="0.25">
      <c r="A13" s="139"/>
      <c r="B13" s="108" t="s">
        <v>32</v>
      </c>
      <c r="C13" s="108" t="s">
        <v>34</v>
      </c>
      <c r="D13" s="148"/>
      <c r="E13" s="228">
        <f>ROUND(SUMIFS(BUDGET[[#Headers],[#Data],[Total Cost CHF]],BUDGET[[#Headers],[#Data],[Output
Code]],B13)*106.5/100,2)</f>
        <v>0</v>
      </c>
      <c r="H13" s="215">
        <f>ROUND(SUMIFS(BUDGET[[#Headers],[#Data],[Total Cost CHF]],BUDGET[[#Headers],[#Data],[Output
Code]],B13)*106.5/100,2)</f>
        <v>0</v>
      </c>
      <c r="I13" s="215">
        <f>+E13-H13</f>
        <v>0</v>
      </c>
    </row>
    <row r="14" spans="1:9" s="2" customFormat="1" ht="13.5" customHeight="1" x14ac:dyDescent="0.25">
      <c r="A14" s="128" t="s">
        <v>40</v>
      </c>
      <c r="B14" s="140" t="s">
        <v>41</v>
      </c>
      <c r="C14" s="140"/>
      <c r="D14" s="147">
        <f>SUM(D15)</f>
        <v>0</v>
      </c>
      <c r="E14" s="138">
        <f>SUM(E15)</f>
        <v>0</v>
      </c>
      <c r="H14" s="214">
        <f>SUM(H15)</f>
        <v>0</v>
      </c>
      <c r="I14" s="214">
        <f>SUM(I15)</f>
        <v>0</v>
      </c>
    </row>
    <row r="15" spans="1:9" s="108" customFormat="1" ht="13.5" customHeight="1" x14ac:dyDescent="0.25">
      <c r="A15" s="139"/>
      <c r="B15" s="108" t="s">
        <v>37</v>
      </c>
      <c r="C15" s="108" t="s">
        <v>166</v>
      </c>
      <c r="D15" s="148"/>
      <c r="E15" s="228">
        <f>ROUND(SUMIFS(BUDGET[[#Headers],[#Data],[Total Cost CHF]],BUDGET[[#Headers],[#Data],[Output
Code]],B15)*106.5/100,2)</f>
        <v>0</v>
      </c>
      <c r="H15" s="215">
        <f>ROUND(SUMIFS(BUDGET[[#Headers],[#Data],[Total Cost CHF]],BUDGET[[#Headers],[#Data],[Output
Code]],B15)*106.5/100,2)</f>
        <v>0</v>
      </c>
      <c r="I15" s="215">
        <f>+E15-H15</f>
        <v>0</v>
      </c>
    </row>
    <row r="16" spans="1:9" s="2" customFormat="1" ht="13.5" customHeight="1" x14ac:dyDescent="0.25">
      <c r="A16" s="128" t="s">
        <v>51</v>
      </c>
      <c r="B16" s="140" t="s">
        <v>52</v>
      </c>
      <c r="C16" s="140"/>
      <c r="D16" s="147">
        <f>SUM(D17:D19)</f>
        <v>0</v>
      </c>
      <c r="E16" s="138">
        <f>SUM(E17:E19)</f>
        <v>0</v>
      </c>
      <c r="H16" s="214">
        <f>SUM(H17:H19)</f>
        <v>0</v>
      </c>
      <c r="I16" s="214">
        <f>SUM(I17:I19)</f>
        <v>0</v>
      </c>
    </row>
    <row r="17" spans="1:9" s="108" customFormat="1" ht="13.5" customHeight="1" x14ac:dyDescent="0.25">
      <c r="A17" s="139"/>
      <c r="B17" s="108" t="s">
        <v>42</v>
      </c>
      <c r="C17" s="108" t="s">
        <v>44</v>
      </c>
      <c r="D17" s="148"/>
      <c r="E17" s="228">
        <f>ROUND(SUMIFS(BUDGET[[#Headers],[#Data],[Total Cost CHF]],BUDGET[[#Headers],[#Data],[Output
Code]],B17)*106.5/100,2)</f>
        <v>0</v>
      </c>
      <c r="H17" s="215">
        <f>ROUND(SUMIFS(BUDGET[[#Headers],[#Data],[Total Cost CHF]],BUDGET[[#Headers],[#Data],[Output
Code]],B17)*106.5/100,2)</f>
        <v>0</v>
      </c>
      <c r="I17" s="215">
        <f>+E17-H17</f>
        <v>0</v>
      </c>
    </row>
    <row r="18" spans="1:9" s="108" customFormat="1" ht="13.5" customHeight="1" x14ac:dyDescent="0.25">
      <c r="A18" s="139"/>
      <c r="B18" s="108" t="s">
        <v>45</v>
      </c>
      <c r="C18" s="108" t="s">
        <v>47</v>
      </c>
      <c r="D18" s="148"/>
      <c r="E18" s="228">
        <f>ROUND(SUMIFS(BUDGET[[#Headers],[#Data],[Total Cost CHF]],BUDGET[[#Headers],[#Data],[Output
Code]],B18)*106.5/100,2)</f>
        <v>0</v>
      </c>
      <c r="H18" s="215">
        <f>ROUND(SUMIFS(BUDGET[[#Headers],[#Data],[Total Cost CHF]],BUDGET[[#Headers],[#Data],[Output
Code]],B18)*106.5/100,2)</f>
        <v>0</v>
      </c>
      <c r="I18" s="215">
        <f>+E18-H18</f>
        <v>0</v>
      </c>
    </row>
    <row r="19" spans="1:9" s="108" customFormat="1" ht="13.5" customHeight="1" x14ac:dyDescent="0.25">
      <c r="A19" s="139"/>
      <c r="B19" s="108" t="s">
        <v>48</v>
      </c>
      <c r="C19" s="108" t="s">
        <v>50</v>
      </c>
      <c r="D19" s="148"/>
      <c r="E19" s="228">
        <f>ROUND(SUMIFS(BUDGET[[#Headers],[#Data],[Total Cost CHF]],BUDGET[[#Headers],[#Data],[Output
Code]],B19)*106.5/100,2)</f>
        <v>0</v>
      </c>
      <c r="H19" s="215">
        <f>ROUND(SUMIFS(BUDGET[[#Headers],[#Data],[Total Cost CHF]],BUDGET[[#Headers],[#Data],[Output
Code]],B19)*106.5/100,2)</f>
        <v>0</v>
      </c>
      <c r="I19" s="215">
        <f>+E19-H19</f>
        <v>0</v>
      </c>
    </row>
    <row r="20" spans="1:9" s="2" customFormat="1" ht="13.5" customHeight="1" x14ac:dyDescent="0.25">
      <c r="A20" s="128" t="s">
        <v>59</v>
      </c>
      <c r="B20" s="140" t="s">
        <v>60</v>
      </c>
      <c r="C20" s="140"/>
      <c r="D20" s="147">
        <f>SUM(D21:D22)</f>
        <v>0</v>
      </c>
      <c r="E20" s="138">
        <f>SUM(E21:E22)</f>
        <v>0</v>
      </c>
      <c r="H20" s="214">
        <f>SUM(H21:H22)</f>
        <v>0</v>
      </c>
      <c r="I20" s="214">
        <f>SUM(I21:I22)</f>
        <v>0</v>
      </c>
    </row>
    <row r="21" spans="1:9" s="108" customFormat="1" ht="13.5" customHeight="1" x14ac:dyDescent="0.25">
      <c r="A21" s="139"/>
      <c r="B21" s="108" t="s">
        <v>53</v>
      </c>
      <c r="C21" s="108" t="s">
        <v>55</v>
      </c>
      <c r="D21" s="148"/>
      <c r="E21" s="228">
        <f>ROUND(SUMIFS(BUDGET[[#Headers],[#Data],[Total Cost CHF]],BUDGET[[#Headers],[#Data],[Output
Code]],B21)*106.5/100,2)</f>
        <v>0</v>
      </c>
      <c r="H21" s="215">
        <f>ROUND(SUMIFS(BUDGET[[#Headers],[#Data],[Total Cost CHF]],BUDGET[[#Headers],[#Data],[Output
Code]],B21)*106.5/100,2)</f>
        <v>0</v>
      </c>
      <c r="I21" s="215">
        <f>+E21-H21</f>
        <v>0</v>
      </c>
    </row>
    <row r="22" spans="1:9" s="108" customFormat="1" ht="13.5" customHeight="1" x14ac:dyDescent="0.25">
      <c r="A22" s="139"/>
      <c r="B22" s="108" t="s">
        <v>56</v>
      </c>
      <c r="C22" s="108" t="s">
        <v>58</v>
      </c>
      <c r="D22" s="148"/>
      <c r="E22" s="228">
        <f>ROUND(SUMIFS(BUDGET[[#Headers],[#Data],[Total Cost CHF]],BUDGET[[#Headers],[#Data],[Output
Code]],B22)*106.5/100,2)</f>
        <v>0</v>
      </c>
      <c r="H22" s="215">
        <f>ROUND(SUMIFS(BUDGET[[#Headers],[#Data],[Total Cost CHF]],BUDGET[[#Headers],[#Data],[Output
Code]],B22)*106.5/100,2)</f>
        <v>0</v>
      </c>
      <c r="I22" s="215">
        <f>+E22-H22</f>
        <v>0</v>
      </c>
    </row>
    <row r="23" spans="1:9" s="2" customFormat="1" ht="13.5" customHeight="1" x14ac:dyDescent="0.25">
      <c r="A23" s="128" t="s">
        <v>70</v>
      </c>
      <c r="B23" s="140" t="s">
        <v>71</v>
      </c>
      <c r="C23" s="140"/>
      <c r="D23" s="147">
        <f>SUM(D24:D26)</f>
        <v>0</v>
      </c>
      <c r="E23" s="138">
        <f>SUM(E24:E26)</f>
        <v>0</v>
      </c>
      <c r="H23" s="214">
        <f>SUM(H24:H26)</f>
        <v>0</v>
      </c>
      <c r="I23" s="214">
        <f>SUM(I24:I26)</f>
        <v>0</v>
      </c>
    </row>
    <row r="24" spans="1:9" s="108" customFormat="1" ht="13.5" customHeight="1" x14ac:dyDescent="0.25">
      <c r="A24" s="139"/>
      <c r="B24" s="108" t="s">
        <v>61</v>
      </c>
      <c r="C24" s="108" t="s">
        <v>63</v>
      </c>
      <c r="D24" s="148"/>
      <c r="E24" s="228">
        <f>ROUND(SUMIFS(BUDGET[[#Headers],[#Data],[Total Cost CHF]],BUDGET[[#Headers],[#Data],[Output
Code]],B24)*106.5/100,2)</f>
        <v>0</v>
      </c>
      <c r="H24" s="215">
        <f>ROUND(SUMIFS(BUDGET[[#Headers],[#Data],[Total Cost CHF]],BUDGET[[#Headers],[#Data],[Output
Code]],B24)*106.5/100,2)</f>
        <v>0</v>
      </c>
      <c r="I24" s="215">
        <f>+E24-H24</f>
        <v>0</v>
      </c>
    </row>
    <row r="25" spans="1:9" s="108" customFormat="1" ht="13.5" customHeight="1" x14ac:dyDescent="0.25">
      <c r="A25" s="139"/>
      <c r="B25" s="108" t="s">
        <v>64</v>
      </c>
      <c r="C25" s="108" t="s">
        <v>66</v>
      </c>
      <c r="D25" s="148"/>
      <c r="E25" s="228">
        <f>ROUND(SUMIFS(BUDGET[[#Headers],[#Data],[Total Cost CHF]],BUDGET[[#Headers],[#Data],[Output
Code]],B25)*106.5/100,2)</f>
        <v>0</v>
      </c>
      <c r="H25" s="215">
        <f>ROUND(SUMIFS(BUDGET[[#Headers],[#Data],[Total Cost CHF]],BUDGET[[#Headers],[#Data],[Output
Code]],B25)*106.5/100,2)</f>
        <v>0</v>
      </c>
      <c r="I25" s="215">
        <f>+E25-H25</f>
        <v>0</v>
      </c>
    </row>
    <row r="26" spans="1:9" s="108" customFormat="1" ht="13.5" customHeight="1" x14ac:dyDescent="0.25">
      <c r="A26" s="139"/>
      <c r="B26" s="108" t="s">
        <v>67</v>
      </c>
      <c r="C26" s="108" t="s">
        <v>69</v>
      </c>
      <c r="D26" s="148"/>
      <c r="E26" s="228">
        <f>ROUND(SUMIFS(BUDGET[[#Headers],[#Data],[Total Cost CHF]],BUDGET[[#Headers],[#Data],[Output
Code]],B26)*106.5/100,2)</f>
        <v>0</v>
      </c>
      <c r="H26" s="215">
        <f>ROUND(SUMIFS(BUDGET[[#Headers],[#Data],[Total Cost CHF]],BUDGET[[#Headers],[#Data],[Output
Code]],B26)*106.5/100,2)</f>
        <v>0</v>
      </c>
      <c r="I26" s="215">
        <f>+E26-H26</f>
        <v>0</v>
      </c>
    </row>
    <row r="27" spans="1:9" s="2" customFormat="1" ht="13.5" customHeight="1" x14ac:dyDescent="0.25">
      <c r="A27" s="128" t="s">
        <v>75</v>
      </c>
      <c r="B27" s="140" t="s">
        <v>76</v>
      </c>
      <c r="C27" s="140"/>
      <c r="D27" s="147">
        <f>SUM(D28)</f>
        <v>0</v>
      </c>
      <c r="E27" s="138">
        <f>SUM(E28)</f>
        <v>0</v>
      </c>
      <c r="H27" s="214">
        <f>SUM(H28)</f>
        <v>0</v>
      </c>
      <c r="I27" s="214">
        <f>SUM(I28)</f>
        <v>0</v>
      </c>
    </row>
    <row r="28" spans="1:9" s="108" customFormat="1" ht="13.5" customHeight="1" x14ac:dyDescent="0.25">
      <c r="A28" s="139"/>
      <c r="B28" s="108" t="s">
        <v>72</v>
      </c>
      <c r="C28" s="108" t="s">
        <v>74</v>
      </c>
      <c r="D28" s="148"/>
      <c r="E28" s="228">
        <f>ROUND(SUMIFS(BUDGET[[#Headers],[#Data],[Total Cost CHF]],BUDGET[[#Headers],[#Data],[Output
Code]],B28)*106.5/100,2)</f>
        <v>0</v>
      </c>
      <c r="H28" s="215">
        <f>ROUND(SUMIFS(BUDGET[[#Headers],[#Data],[Total Cost CHF]],BUDGET[[#Headers],[#Data],[Output
Code]],B28)*106.5/100,2)</f>
        <v>0</v>
      </c>
      <c r="I28" s="215">
        <f>+E28-H28</f>
        <v>0</v>
      </c>
    </row>
    <row r="29" spans="1:9" s="2" customFormat="1" ht="13.5" customHeight="1" x14ac:dyDescent="0.25">
      <c r="A29" s="128" t="s">
        <v>83</v>
      </c>
      <c r="B29" s="140" t="s">
        <v>84</v>
      </c>
      <c r="C29" s="140"/>
      <c r="D29" s="147">
        <f>SUM(D30:D31)</f>
        <v>0</v>
      </c>
      <c r="E29" s="138">
        <f>SUM(E30:E31)</f>
        <v>0</v>
      </c>
      <c r="H29" s="214">
        <f>SUM(H30:H31)</f>
        <v>0</v>
      </c>
      <c r="I29" s="214">
        <f>SUM(I30:I31)</f>
        <v>0</v>
      </c>
    </row>
    <row r="30" spans="1:9" s="108" customFormat="1" ht="13.5" customHeight="1" x14ac:dyDescent="0.25">
      <c r="A30" s="139"/>
      <c r="B30" s="108" t="s">
        <v>77</v>
      </c>
      <c r="C30" s="108" t="s">
        <v>79</v>
      </c>
      <c r="D30" s="148"/>
      <c r="E30" s="228">
        <f>ROUND(SUMIFS(BUDGET[[#Headers],[#Data],[Total Cost CHF]],BUDGET[[#Headers],[#Data],[Output
Code]],B30)*106.5/100,2)</f>
        <v>0</v>
      </c>
      <c r="H30" s="215">
        <f>ROUND(SUMIFS(BUDGET[[#Headers],[#Data],[Total Cost CHF]],BUDGET[[#Headers],[#Data],[Output
Code]],B30)*106.5/100,2)</f>
        <v>0</v>
      </c>
      <c r="I30" s="215">
        <f>+E30-H30</f>
        <v>0</v>
      </c>
    </row>
    <row r="31" spans="1:9" s="108" customFormat="1" ht="13.5" customHeight="1" x14ac:dyDescent="0.25">
      <c r="A31" s="139"/>
      <c r="B31" s="108" t="s">
        <v>80</v>
      </c>
      <c r="C31" s="108" t="s">
        <v>82</v>
      </c>
      <c r="D31" s="148"/>
      <c r="E31" s="228">
        <f>ROUND(SUMIFS(BUDGET[[#Headers],[#Data],[Total Cost CHF]],BUDGET[[#Headers],[#Data],[Output
Code]],B31)*106.5/100,2)</f>
        <v>0</v>
      </c>
      <c r="H31" s="215">
        <f>ROUND(SUMIFS(BUDGET[[#Headers],[#Data],[Total Cost CHF]],BUDGET[[#Headers],[#Data],[Output
Code]],B31)*106.5/100,2)</f>
        <v>0</v>
      </c>
      <c r="I31" s="215">
        <f>+E31-H31</f>
        <v>0</v>
      </c>
    </row>
    <row r="32" spans="1:9" s="2" customFormat="1" ht="16.5" customHeight="1" x14ac:dyDescent="0.25">
      <c r="A32" s="128" t="s">
        <v>100</v>
      </c>
      <c r="B32" s="140" t="s">
        <v>167</v>
      </c>
      <c r="C32" s="140"/>
      <c r="D32" s="147">
        <f>SUM(D33:D37)</f>
        <v>0</v>
      </c>
      <c r="E32" s="138">
        <f>SUM(E33:E37)</f>
        <v>0</v>
      </c>
      <c r="H32" s="214">
        <f>SUM(H33:H37)</f>
        <v>0</v>
      </c>
      <c r="I32" s="214">
        <f>SUM(I33:I37)</f>
        <v>0</v>
      </c>
    </row>
    <row r="33" spans="1:9" s="108" customFormat="1" ht="13.5" customHeight="1" x14ac:dyDescent="0.25">
      <c r="A33" s="139"/>
      <c r="B33" s="108" t="s">
        <v>85</v>
      </c>
      <c r="C33" s="108" t="s">
        <v>87</v>
      </c>
      <c r="D33" s="148"/>
      <c r="E33" s="228">
        <f>ROUND(SUMIFS(BUDGET[[#Headers],[#Data],[Total Cost CHF]],BUDGET[[#Headers],[#Data],[Output
Code]],B33)*106.5/100,2)</f>
        <v>0</v>
      </c>
      <c r="H33" s="215">
        <f>ROUND(SUMIFS(BUDGET[[#Headers],[#Data],[Total Cost CHF]],BUDGET[[#Headers],[#Data],[Output
Code]],B33)*106.5/100,2)</f>
        <v>0</v>
      </c>
      <c r="I33" s="215">
        <f>+E33-H33</f>
        <v>0</v>
      </c>
    </row>
    <row r="34" spans="1:9" s="108" customFormat="1" ht="13.5" customHeight="1" x14ac:dyDescent="0.25">
      <c r="A34" s="139"/>
      <c r="B34" s="108" t="s">
        <v>88</v>
      </c>
      <c r="C34" s="108" t="s">
        <v>90</v>
      </c>
      <c r="D34" s="148"/>
      <c r="E34" s="228">
        <f>ROUND(SUMIFS(BUDGET[[#Headers],[#Data],[Total Cost CHF]],BUDGET[[#Headers],[#Data],[Output
Code]],B34)*106.5/100,2)</f>
        <v>0</v>
      </c>
      <c r="H34" s="215">
        <f>ROUND(SUMIFS(BUDGET[[#Headers],[#Data],[Total Cost CHF]],BUDGET[[#Headers],[#Data],[Output
Code]],B34)*106.5/100,2)</f>
        <v>0</v>
      </c>
      <c r="I34" s="215">
        <f>+E34-H34</f>
        <v>0</v>
      </c>
    </row>
    <row r="35" spans="1:9" s="108" customFormat="1" ht="13.5" customHeight="1" x14ac:dyDescent="0.25">
      <c r="A35" s="139"/>
      <c r="B35" s="108" t="s">
        <v>91</v>
      </c>
      <c r="C35" s="108" t="s">
        <v>93</v>
      </c>
      <c r="D35" s="148"/>
      <c r="E35" s="228">
        <f>ROUND(SUMIFS(BUDGET[[#Headers],[#Data],[Total Cost CHF]],BUDGET[[#Headers],[#Data],[Output
Code]],B35)*106.5/100,2)</f>
        <v>0</v>
      </c>
      <c r="H35" s="215">
        <f>ROUND(SUMIFS(BUDGET[[#Headers],[#Data],[Total Cost CHF]],BUDGET[[#Headers],[#Data],[Output
Code]],B35)*106.5/100,2)</f>
        <v>0</v>
      </c>
      <c r="I35" s="215">
        <f>+E35-H35</f>
        <v>0</v>
      </c>
    </row>
    <row r="36" spans="1:9" s="108" customFormat="1" ht="13.5" customHeight="1" x14ac:dyDescent="0.25">
      <c r="A36" s="139"/>
      <c r="B36" s="108" t="s">
        <v>94</v>
      </c>
      <c r="C36" s="108" t="s">
        <v>168</v>
      </c>
      <c r="D36" s="148"/>
      <c r="E36" s="228">
        <f>ROUND(SUMIFS(BUDGET[[#Headers],[#Data],[Total Cost CHF]],BUDGET[[#Headers],[#Data],[Output
Code]],B36)*106.5/100,2)</f>
        <v>0</v>
      </c>
      <c r="H36" s="215">
        <f>ROUND(SUMIFS(BUDGET[[#Headers],[#Data],[Total Cost CHF]],BUDGET[[#Headers],[#Data],[Output
Code]],B36)*106.5/100,2)</f>
        <v>0</v>
      </c>
      <c r="I36" s="215">
        <f>+E36-H36</f>
        <v>0</v>
      </c>
    </row>
    <row r="37" spans="1:9" s="108" customFormat="1" ht="13.5" customHeight="1" x14ac:dyDescent="0.25">
      <c r="A37" s="139"/>
      <c r="B37" s="108" t="s">
        <v>97</v>
      </c>
      <c r="C37" s="108" t="s">
        <v>99</v>
      </c>
      <c r="D37" s="148"/>
      <c r="E37" s="228">
        <f>ROUND(SUMIFS(BUDGET[[#Headers],[#Data],[Total Cost CHF]],BUDGET[[#Headers],[#Data],[Output
Code]],B37)*106.5/100,2)</f>
        <v>0</v>
      </c>
      <c r="H37" s="215">
        <f>ROUND(SUMIFS(BUDGET[[#Headers],[#Data],[Total Cost CHF]],BUDGET[[#Headers],[#Data],[Output
Code]],B37)*106.5/100,2)</f>
        <v>0</v>
      </c>
      <c r="I37" s="215">
        <f>+E37-H37</f>
        <v>0</v>
      </c>
    </row>
    <row r="38" spans="1:9" s="2" customFormat="1" ht="13.5" customHeight="1" x14ac:dyDescent="0.25">
      <c r="A38" s="128" t="s">
        <v>105</v>
      </c>
      <c r="B38" s="140" t="s">
        <v>169</v>
      </c>
      <c r="C38" s="140"/>
      <c r="D38" s="147">
        <f>SUM(D39)</f>
        <v>0</v>
      </c>
      <c r="E38" s="138">
        <f>SUM(E39)</f>
        <v>0</v>
      </c>
      <c r="H38" s="214">
        <f>SUM(H39)</f>
        <v>0</v>
      </c>
      <c r="I38" s="214">
        <f>SUM(I39)</f>
        <v>0</v>
      </c>
    </row>
    <row r="39" spans="1:9" s="108" customFormat="1" ht="13.5" customHeight="1" x14ac:dyDescent="0.25">
      <c r="A39" s="139"/>
      <c r="B39" s="108" t="s">
        <v>102</v>
      </c>
      <c r="C39" s="108" t="s">
        <v>104</v>
      </c>
      <c r="D39" s="148"/>
      <c r="E39" s="228">
        <f>ROUND(SUMIFS(BUDGET[[#Headers],[#Data],[Total Cost CHF]],BUDGET[[#Headers],[#Data],[Output
Code]],B39)*106.5/100,2)</f>
        <v>0</v>
      </c>
      <c r="H39" s="215">
        <f>ROUND(SUMIFS(BUDGET[[#Headers],[#Data],[Total Cost CHF]],BUDGET[[#Headers],[#Data],[Output
Code]],B39)*106.5/100,2)</f>
        <v>0</v>
      </c>
      <c r="I39" s="215">
        <f>+E39-H39</f>
        <v>0</v>
      </c>
    </row>
    <row r="40" spans="1:9" s="2" customFormat="1" ht="13.5" customHeight="1" x14ac:dyDescent="0.25">
      <c r="A40" s="128" t="s">
        <v>110</v>
      </c>
      <c r="B40" s="140" t="s">
        <v>111</v>
      </c>
      <c r="C40" s="140"/>
      <c r="D40" s="147">
        <f>SUM(D41)</f>
        <v>0</v>
      </c>
      <c r="E40" s="138">
        <f>SUM(E41)</f>
        <v>0</v>
      </c>
      <c r="H40" s="214">
        <f>SUM(H41)</f>
        <v>0</v>
      </c>
      <c r="I40" s="214">
        <f>SUM(I41)</f>
        <v>0</v>
      </c>
    </row>
    <row r="41" spans="1:9" s="108" customFormat="1" ht="22.15" customHeight="1" x14ac:dyDescent="0.25">
      <c r="A41" s="139"/>
      <c r="B41" s="144" t="s">
        <v>107</v>
      </c>
      <c r="C41" s="144" t="s">
        <v>109</v>
      </c>
      <c r="D41" s="148"/>
      <c r="E41" s="228">
        <f>ROUND(SUMIFS(BUDGET[[#Headers],[#Data],[Total Cost CHF]],BUDGET[[#Headers],[#Data],[Output
Code]],B41)*106.5/100,2)</f>
        <v>0</v>
      </c>
      <c r="H41" s="215">
        <f>ROUND(SUMIFS(BUDGET[[#Headers],[#Data],[Total Cost CHF]],BUDGET[[#Headers],[#Data],[Output
Code]],B41)*106.5/100,2)</f>
        <v>0</v>
      </c>
      <c r="I41" s="215">
        <f>+E41-H41</f>
        <v>0</v>
      </c>
    </row>
    <row r="42" spans="1:9" s="136" customFormat="1" ht="17.25" customHeight="1" x14ac:dyDescent="0.25">
      <c r="A42" s="134" t="s">
        <v>157</v>
      </c>
      <c r="B42" s="134"/>
      <c r="C42" s="134"/>
      <c r="D42" s="149">
        <f>+D43+D51+D53</f>
        <v>0</v>
      </c>
      <c r="E42" s="135">
        <f>+E43+E51+E53</f>
        <v>0</v>
      </c>
      <c r="H42" s="213">
        <f>+H43+H51+H53</f>
        <v>0</v>
      </c>
      <c r="I42" s="213">
        <f>+I43+I51+I53</f>
        <v>0</v>
      </c>
    </row>
    <row r="43" spans="1:9" s="2" customFormat="1" ht="13.5" customHeight="1" x14ac:dyDescent="0.25">
      <c r="A43" s="128" t="s">
        <v>133</v>
      </c>
      <c r="B43" s="140" t="s">
        <v>134</v>
      </c>
      <c r="C43" s="140"/>
      <c r="D43" s="147">
        <f>SUM(D44:D50)</f>
        <v>0</v>
      </c>
      <c r="E43" s="138">
        <f>SUM(E44:E50)</f>
        <v>0</v>
      </c>
      <c r="H43" s="214">
        <f>SUM(H44:H50)</f>
        <v>0</v>
      </c>
      <c r="I43" s="214">
        <f>SUM(I44:I50)</f>
        <v>0</v>
      </c>
    </row>
    <row r="44" spans="1:9" s="108" customFormat="1" ht="13.5" customHeight="1" x14ac:dyDescent="0.25">
      <c r="A44" s="139"/>
      <c r="B44" s="108" t="s">
        <v>112</v>
      </c>
      <c r="C44" s="108" t="s">
        <v>114</v>
      </c>
      <c r="D44" s="148"/>
      <c r="E44" s="228">
        <f>ROUND(SUMIFS(BUDGET[[#Headers],[#Data],[Total Cost CHF]],BUDGET[[#Headers],[#Data],[Output
Code]],B44)*106.5/100,2)</f>
        <v>0</v>
      </c>
      <c r="H44" s="215">
        <f>ROUND(SUMIFS(BUDGET[[#Headers],[#Data],[Total Cost CHF]],BUDGET[[#Headers],[#Data],[Output
Code]],B44)*106.5/100,2)</f>
        <v>0</v>
      </c>
      <c r="I44" s="215">
        <f t="shared" ref="I44:I50" si="0">+E44-H44</f>
        <v>0</v>
      </c>
    </row>
    <row r="45" spans="1:9" s="108" customFormat="1" ht="13.5" customHeight="1" x14ac:dyDescent="0.25">
      <c r="A45" s="139"/>
      <c r="B45" s="108" t="s">
        <v>115</v>
      </c>
      <c r="C45" s="108" t="s">
        <v>117</v>
      </c>
      <c r="D45" s="148"/>
      <c r="E45" s="228">
        <f>ROUND(SUMIFS(BUDGET[[#Headers],[#Data],[Total Cost CHF]],BUDGET[[#Headers],[#Data],[Output
Code]],B45)*106.5/100,2)</f>
        <v>0</v>
      </c>
      <c r="H45" s="215">
        <f>ROUND(SUMIFS(BUDGET[[#Headers],[#Data],[Total Cost CHF]],BUDGET[[#Headers],[#Data],[Output
Code]],B45)*106.5/100,2)</f>
        <v>0</v>
      </c>
      <c r="I45" s="215">
        <f t="shared" si="0"/>
        <v>0</v>
      </c>
    </row>
    <row r="46" spans="1:9" s="108" customFormat="1" ht="13.5" customHeight="1" x14ac:dyDescent="0.25">
      <c r="A46" s="139"/>
      <c r="B46" s="108" t="s">
        <v>118</v>
      </c>
      <c r="C46" s="108" t="s">
        <v>120</v>
      </c>
      <c r="D46" s="148"/>
      <c r="E46" s="228">
        <f>ROUND(SUMIFS(BUDGET[[#Headers],[#Data],[Total Cost CHF]],BUDGET[[#Headers],[#Data],[Output
Code]],B46)*106.5/100,2)</f>
        <v>0</v>
      </c>
      <c r="H46" s="215">
        <f>ROUND(SUMIFS(BUDGET[[#Headers],[#Data],[Total Cost CHF]],BUDGET[[#Headers],[#Data],[Output
Code]],B46)*106.5/100,2)</f>
        <v>0</v>
      </c>
      <c r="I46" s="215">
        <f t="shared" si="0"/>
        <v>0</v>
      </c>
    </row>
    <row r="47" spans="1:9" s="108" customFormat="1" ht="13.5" customHeight="1" x14ac:dyDescent="0.25">
      <c r="A47" s="139"/>
      <c r="B47" s="108" t="s">
        <v>121</v>
      </c>
      <c r="C47" s="108" t="s">
        <v>123</v>
      </c>
      <c r="D47" s="148"/>
      <c r="E47" s="228">
        <f>ROUND(SUMIFS(BUDGET[[#Headers],[#Data],[Total Cost CHF]],BUDGET[[#Headers],[#Data],[Output
Code]],B47)*106.5/100,2)</f>
        <v>0</v>
      </c>
      <c r="H47" s="215">
        <f>ROUND(SUMIFS(BUDGET[[#Headers],[#Data],[Total Cost CHF]],BUDGET[[#Headers],[#Data],[Output
Code]],B47)*106.5/100,2)</f>
        <v>0</v>
      </c>
      <c r="I47" s="215">
        <f t="shared" si="0"/>
        <v>0</v>
      </c>
    </row>
    <row r="48" spans="1:9" s="108" customFormat="1" ht="13.5" customHeight="1" x14ac:dyDescent="0.25">
      <c r="A48" s="139"/>
      <c r="B48" s="108" t="s">
        <v>124</v>
      </c>
      <c r="C48" s="108" t="s">
        <v>126</v>
      </c>
      <c r="D48" s="148"/>
      <c r="E48" s="228">
        <f>ROUND(SUMIFS(BUDGET[[#Headers],[#Data],[Total Cost CHF]],BUDGET[[#Headers],[#Data],[Output
Code]],B48)*106.5/100,2)</f>
        <v>0</v>
      </c>
      <c r="H48" s="215">
        <f>ROUND(SUMIFS(BUDGET[[#Headers],[#Data],[Total Cost CHF]],BUDGET[[#Headers],[#Data],[Output
Code]],B48)*106.5/100,2)</f>
        <v>0</v>
      </c>
      <c r="I48" s="215">
        <f t="shared" si="0"/>
        <v>0</v>
      </c>
    </row>
    <row r="49" spans="1:9" s="108" customFormat="1" ht="13.5" customHeight="1" x14ac:dyDescent="0.25">
      <c r="A49" s="139"/>
      <c r="B49" s="108" t="s">
        <v>127</v>
      </c>
      <c r="C49" s="108" t="s">
        <v>129</v>
      </c>
      <c r="D49" s="148"/>
      <c r="E49" s="228">
        <f>ROUND(SUMIFS(BUDGET[[#Headers],[#Data],[Total Cost CHF]],BUDGET[[#Headers],[#Data],[Output
Code]],B49)*106.5/100,2)</f>
        <v>0</v>
      </c>
      <c r="H49" s="215">
        <f>ROUND(SUMIFS(BUDGET[[#Headers],[#Data],[Total Cost CHF]],BUDGET[[#Headers],[#Data],[Output
Code]],B49)*106.5/100,2)</f>
        <v>0</v>
      </c>
      <c r="I49" s="215">
        <f t="shared" si="0"/>
        <v>0</v>
      </c>
    </row>
    <row r="50" spans="1:9" s="108" customFormat="1" ht="13.5" customHeight="1" x14ac:dyDescent="0.25">
      <c r="A50" s="139"/>
      <c r="B50" s="108" t="s">
        <v>130</v>
      </c>
      <c r="C50" s="108" t="s">
        <v>132</v>
      </c>
      <c r="D50" s="148"/>
      <c r="E50" s="228">
        <f>ROUND(SUMIFS(BUDGET[[#Headers],[#Data],[Total Cost CHF]],BUDGET[[#Headers],[#Data],[Output
Code]],B50)*106.5/100,2)</f>
        <v>0</v>
      </c>
      <c r="H50" s="215">
        <f>ROUND(SUMIFS(BUDGET[[#Headers],[#Data],[Total Cost CHF]],BUDGET[[#Headers],[#Data],[Output
Code]],B50)*106.5/100,2)</f>
        <v>0</v>
      </c>
      <c r="I50" s="215">
        <f t="shared" si="0"/>
        <v>0</v>
      </c>
    </row>
    <row r="51" spans="1:9" s="2" customFormat="1" ht="13.5" customHeight="1" x14ac:dyDescent="0.25">
      <c r="A51" s="128" t="s">
        <v>138</v>
      </c>
      <c r="B51" s="140" t="s">
        <v>139</v>
      </c>
      <c r="C51" s="140"/>
      <c r="D51" s="147">
        <f>SUM(D52)</f>
        <v>0</v>
      </c>
      <c r="E51" s="138">
        <f>SUM(E52)</f>
        <v>0</v>
      </c>
      <c r="H51" s="214">
        <f>SUM(H52)</f>
        <v>0</v>
      </c>
      <c r="I51" s="214">
        <f>SUM(I52)</f>
        <v>0</v>
      </c>
    </row>
    <row r="52" spans="1:9" s="108" customFormat="1" ht="13.5" customHeight="1" x14ac:dyDescent="0.25">
      <c r="A52" s="139"/>
      <c r="B52" s="108" t="s">
        <v>135</v>
      </c>
      <c r="C52" s="108" t="s">
        <v>137</v>
      </c>
      <c r="D52" s="148"/>
      <c r="E52" s="228">
        <f>ROUND(SUMIFS(BUDGET[[#Headers],[#Data],[Total Cost CHF]],BUDGET[[#Headers],[#Data],[Output
Code]],B52)*106.5/100,2)</f>
        <v>0</v>
      </c>
      <c r="H52" s="215">
        <f>ROUND(SUMIFS(BUDGET[[#Headers],[#Data],[Total Cost CHF]],BUDGET[[#Headers],[#Data],[Output
Code]],B52)*106.5/100,2)</f>
        <v>0</v>
      </c>
      <c r="I52" s="215">
        <f>+E52-H52</f>
        <v>0</v>
      </c>
    </row>
    <row r="53" spans="1:9" s="2" customFormat="1" ht="13.5" customHeight="1" x14ac:dyDescent="0.25">
      <c r="A53" s="128" t="s">
        <v>149</v>
      </c>
      <c r="B53" s="140" t="s">
        <v>158</v>
      </c>
      <c r="C53" s="140"/>
      <c r="D53" s="147">
        <f>SUM(D54:D56)</f>
        <v>0</v>
      </c>
      <c r="E53" s="138">
        <f>SUM(E54:E56)</f>
        <v>0</v>
      </c>
      <c r="H53" s="214">
        <f>SUM(H54:H56)</f>
        <v>0</v>
      </c>
      <c r="I53" s="214">
        <f>SUM(I54:I56)</f>
        <v>0</v>
      </c>
    </row>
    <row r="54" spans="1:9" s="108" customFormat="1" ht="13.5" customHeight="1" x14ac:dyDescent="0.25">
      <c r="A54" s="139"/>
      <c r="B54" s="108" t="s">
        <v>140</v>
      </c>
      <c r="C54" s="108" t="s">
        <v>142</v>
      </c>
      <c r="D54" s="148"/>
      <c r="E54" s="228">
        <f>ROUND(SUMIFS(BUDGET[[#Headers],[#Data],[Total Cost CHF]],BUDGET[[#Headers],[#Data],[Output
Code]],B54)*106.5/100,2)</f>
        <v>0</v>
      </c>
      <c r="H54" s="215">
        <f>ROUND(SUMIFS(BUDGET[[#Headers],[#Data],[Total Cost CHF]],BUDGET[[#Headers],[#Data],[Output
Code]],B54)*106.5/100,2)</f>
        <v>0</v>
      </c>
      <c r="I54" s="215">
        <f>+E54-H54</f>
        <v>0</v>
      </c>
    </row>
    <row r="55" spans="1:9" s="108" customFormat="1" ht="13.5" customHeight="1" x14ac:dyDescent="0.25">
      <c r="A55" s="139"/>
      <c r="B55" s="108" t="s">
        <v>143</v>
      </c>
      <c r="C55" s="108" t="s">
        <v>145</v>
      </c>
      <c r="D55" s="148"/>
      <c r="E55" s="228">
        <f>ROUND(SUMIFS(BUDGET[[#Headers],[#Data],[Total Cost CHF]],BUDGET[[#Headers],[#Data],[Output
Code]],B55)*106.5/100,2)</f>
        <v>0</v>
      </c>
      <c r="H55" s="215">
        <f>ROUND(SUMIFS(BUDGET[[#Headers],[#Data],[Total Cost CHF]],BUDGET[[#Headers],[#Data],[Output
Code]],B55)*106.5/100,2)</f>
        <v>0</v>
      </c>
      <c r="I55" s="215">
        <f>+E55-H55</f>
        <v>0</v>
      </c>
    </row>
    <row r="56" spans="1:9" s="108" customFormat="1" ht="13.5" customHeight="1" x14ac:dyDescent="0.25">
      <c r="A56" s="139"/>
      <c r="B56" s="108" t="s">
        <v>146</v>
      </c>
      <c r="C56" s="108" t="s">
        <v>148</v>
      </c>
      <c r="D56" s="148"/>
      <c r="E56" s="228">
        <f>ROUND(SUMIFS(BUDGET[[#Headers],[#Data],[Total Cost CHF]],BUDGET[[#Headers],[#Data],[Output
Code]],B56)*106.5/100,2)</f>
        <v>0</v>
      </c>
      <c r="H56" s="215">
        <f>ROUND(SUMIFS(BUDGET[[#Headers],[#Data],[Total Cost CHF]],BUDGET[[#Headers],[#Data],[Output
Code]],B56)*106.5/100,2)</f>
        <v>0</v>
      </c>
      <c r="I56" s="215">
        <f>+E56-H56</f>
        <v>0</v>
      </c>
    </row>
    <row r="57" spans="1:9" s="2" customFormat="1" ht="22.5" x14ac:dyDescent="0.25">
      <c r="A57" s="141"/>
      <c r="B57" s="141" t="s">
        <v>152</v>
      </c>
      <c r="C57" s="141"/>
      <c r="D57" s="150">
        <f>+D42+D9</f>
        <v>0</v>
      </c>
      <c r="E57" s="142">
        <f>+E42+E9</f>
        <v>0</v>
      </c>
      <c r="H57" s="216">
        <f>+H42+H9</f>
        <v>0</v>
      </c>
      <c r="I57" s="216">
        <f>+I42+I9</f>
        <v>0</v>
      </c>
    </row>
    <row r="58" spans="1:9" s="2" customFormat="1" ht="15" customHeight="1" x14ac:dyDescent="0.25">
      <c r="A58" s="143" t="s">
        <v>161</v>
      </c>
      <c r="G58" s="223" t="s">
        <v>170</v>
      </c>
      <c r="H58" s="216">
        <f>+TOT_BUDGET</f>
        <v>0</v>
      </c>
      <c r="I58" s="216">
        <f>+TOT_BUDGET-'Summary by APCode'!H57</f>
        <v>0</v>
      </c>
    </row>
    <row r="62" spans="1:9" s="206" customFormat="1" ht="18" x14ac:dyDescent="0.35">
      <c r="H62" s="208"/>
      <c r="I62" s="208"/>
    </row>
  </sheetData>
  <sheetProtection algorithmName="SHA-512" hashValue="kzktwNDM6vxQyU6e7FOc1+KFQonzdJnxEJmGcOlV80mZtPAdep7mghguWCPFCTuTtMB3FjRgwblX9K8nKcv8ew==" saltValue="lIUf4lN5xQWpMxU0F6tDHw==" spinCount="100000" sheet="1" objects="1" scenarios="1"/>
  <autoFilter ref="B8:E57" xr:uid="{39ED3F59-6352-4A75-B756-0C16B0B8168A}"/>
  <conditionalFormatting sqref="H5">
    <cfRule type="cellIs" dxfId="19" priority="3" operator="notEqual">
      <formula>0</formula>
    </cfRule>
  </conditionalFormatting>
  <conditionalFormatting sqref="I5">
    <cfRule type="containsText" dxfId="18" priority="2" operator="containsText" text="CHECK BUDGET LINES WITHOUT AP CODE">
      <formula>NOT(ISERROR(SEARCH("CHECK BUDGET LINES WITHOUT AP CODE",I5)))</formula>
    </cfRule>
  </conditionalFormatting>
  <conditionalFormatting sqref="I9:I58">
    <cfRule type="cellIs" dxfId="17" priority="1" operator="notBetween">
      <formula>-0.5</formula>
      <formula>0.5</formula>
    </cfRule>
  </conditionalFormatting>
  <printOptions horizontalCentered="1"/>
  <pageMargins left="0.39370078740157483" right="0.35433070866141736" top="0.35433070866141736" bottom="0.74803149606299213" header="0.31496062992125984" footer="0.31496062992125984"/>
  <pageSetup paperSize="9" scale="77" orientation="portrait" r:id="rId1"/>
  <headerFooter>
    <oddFooter>&amp;C&amp;K00-049&amp;D&amp;R&amp;K00-049V2022.01&amp;L&amp;1#&amp;"Calibri"&amp;10&amp;K000000Internal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F8071-36F1-434D-9FEC-20A1A73896FC}">
  <sheetPr codeName="Sheet3">
    <tabColor rgb="FF011E41"/>
  </sheetPr>
  <dimension ref="A1:I62"/>
  <sheetViews>
    <sheetView showGridLines="0" view="pageBreakPreview" topLeftCell="B1" zoomScaleNormal="100" zoomScaleSheetLayoutView="100" workbookViewId="0">
      <selection activeCell="E2" sqref="E2"/>
    </sheetView>
  </sheetViews>
  <sheetFormatPr defaultColWidth="14.42578125" defaultRowHeight="16.5" x14ac:dyDescent="0.3"/>
  <cols>
    <col min="1" max="1" width="0" style="1" hidden="1" customWidth="1"/>
    <col min="2" max="2" width="31.5703125" style="1" customWidth="1"/>
    <col min="3" max="3" width="17.42578125" style="1" customWidth="1"/>
    <col min="4" max="4" width="18.140625" style="1" customWidth="1"/>
    <col min="5" max="5" width="19.85546875" style="1" customWidth="1"/>
    <col min="6" max="8" width="14.42578125" style="1"/>
    <col min="9" max="9" width="8.5703125" style="1" customWidth="1"/>
    <col min="10" max="16384" width="14.42578125" style="1"/>
  </cols>
  <sheetData>
    <row r="1" spans="1:9" x14ac:dyDescent="0.3">
      <c r="A1" s="15"/>
    </row>
    <row r="2" spans="1:9" ht="33" x14ac:dyDescent="0.6">
      <c r="E2" s="100" t="s">
        <v>153</v>
      </c>
    </row>
    <row r="3" spans="1:9" ht="9.75" customHeight="1" x14ac:dyDescent="0.3"/>
    <row r="4" spans="1:9" ht="25.5" customHeight="1" x14ac:dyDescent="0.4">
      <c r="E4" s="101" t="str">
        <f>_xlfn.CONCAT(APP_CODE," - ",NS_NAME)</f>
        <v>Code - Country National Society</v>
      </c>
    </row>
    <row r="5" spans="1:9" ht="21.75" x14ac:dyDescent="0.4">
      <c r="E5" s="101" t="str">
        <f>_xlfn.CONCAT(OPERATION)</f>
        <v>Operation Name</v>
      </c>
    </row>
    <row r="6" spans="1:9" ht="7.15" customHeight="1" x14ac:dyDescent="0.4">
      <c r="E6" s="101"/>
    </row>
    <row r="7" spans="1:9" s="3" customFormat="1" ht="14.25" x14ac:dyDescent="0.3">
      <c r="B7" s="177" t="s">
        <v>171</v>
      </c>
      <c r="C7" s="151" t="s">
        <v>3</v>
      </c>
      <c r="D7" s="151" t="s">
        <v>172</v>
      </c>
      <c r="E7" s="151" t="s">
        <v>173</v>
      </c>
      <c r="F7" s="176" t="s">
        <v>174</v>
      </c>
    </row>
    <row r="8" spans="1:9" x14ac:dyDescent="0.3">
      <c r="A8" s="99"/>
      <c r="B8" s="102" t="s">
        <v>175</v>
      </c>
      <c r="C8" s="103">
        <f>SUM(C9:C23)</f>
        <v>0</v>
      </c>
      <c r="D8" s="103">
        <f>SUM(D9:D23)</f>
        <v>0</v>
      </c>
      <c r="E8" s="103">
        <f>SUM(E9:E23)</f>
        <v>0</v>
      </c>
      <c r="G8" s="174">
        <f>+C8+D8-E8</f>
        <v>0</v>
      </c>
      <c r="H8" s="175" t="str">
        <f>IF(G8&lt;&gt;0, "Check Implemented by column, something is missing", " ")</f>
        <v xml:space="preserve"> </v>
      </c>
      <c r="I8" s="3"/>
    </row>
    <row r="9" spans="1:9" ht="14.25" customHeight="1" x14ac:dyDescent="0.3">
      <c r="A9" s="104">
        <v>500</v>
      </c>
      <c r="B9" s="105" t="s">
        <v>176</v>
      </c>
      <c r="C9" s="106">
        <f>SUMIFS(BUDGET[Total Cost CHF],BUDGET[Budget
Group],A9,BUDGET[Implemented by '[select']],"National Society")</f>
        <v>0</v>
      </c>
      <c r="D9" s="106">
        <f>SUMIFS(BUDGET[Total Cost CHF],BUDGET[Budget
Group],A9,BUDGET[Implemented by '[select']],"IFRC")</f>
        <v>0</v>
      </c>
      <c r="E9" s="106">
        <f>SUMIFS(BUDGET[Total Cost CHF],BUDGET[Budget
Group],A9)</f>
        <v>0</v>
      </c>
      <c r="G9" s="174">
        <f t="shared" ref="G9:G58" si="0">+C9+D9-E9</f>
        <v>0</v>
      </c>
      <c r="H9" s="175" t="str">
        <f t="shared" ref="H9:H58" si="1">IF(G9&lt;&gt;0, "Check Implemented by column, something is missing", " ")</f>
        <v xml:space="preserve"> </v>
      </c>
      <c r="I9" s="3"/>
    </row>
    <row r="10" spans="1:9" ht="14.25" customHeight="1" x14ac:dyDescent="0.3">
      <c r="A10" s="104">
        <v>501</v>
      </c>
      <c r="B10" s="105" t="s">
        <v>177</v>
      </c>
      <c r="C10" s="106">
        <f>SUMIFS(BUDGET[Total Cost CHF],BUDGET[Budget
Group],A10,BUDGET[Implemented by '[select']],"National Society")</f>
        <v>0</v>
      </c>
      <c r="D10" s="106">
        <f>SUMIFS(BUDGET[Total Cost CHF],BUDGET[Budget
Group],A10,BUDGET[Implemented by '[select']],"IFRC")</f>
        <v>0</v>
      </c>
      <c r="E10" s="106">
        <f>SUMIFS(BUDGET[Total Cost CHF],BUDGET[Budget
Group],A10)</f>
        <v>0</v>
      </c>
      <c r="G10" s="174">
        <f t="shared" si="0"/>
        <v>0</v>
      </c>
      <c r="H10" s="175" t="str">
        <f t="shared" si="1"/>
        <v xml:space="preserve"> </v>
      </c>
      <c r="I10" s="3"/>
    </row>
    <row r="11" spans="1:9" ht="14.25" customHeight="1" x14ac:dyDescent="0.3">
      <c r="A11" s="104">
        <v>502</v>
      </c>
      <c r="B11" s="105" t="s">
        <v>178</v>
      </c>
      <c r="C11" s="106">
        <f>SUMIFS(BUDGET[Total Cost CHF],BUDGET[Budget
Group],A11,BUDGET[Implemented by '[select']],"National Society")</f>
        <v>0</v>
      </c>
      <c r="D11" s="106">
        <f>SUMIFS(BUDGET[Total Cost CHF],BUDGET[Budget
Group],A11,BUDGET[Implemented by '[select']],"IFRC")</f>
        <v>0</v>
      </c>
      <c r="E11" s="106">
        <f>SUMIFS(BUDGET[Total Cost CHF],BUDGET[Budget
Group],A11)</f>
        <v>0</v>
      </c>
      <c r="G11" s="174">
        <f t="shared" si="0"/>
        <v>0</v>
      </c>
      <c r="H11" s="175" t="str">
        <f t="shared" si="1"/>
        <v xml:space="preserve"> </v>
      </c>
      <c r="I11" s="3"/>
    </row>
    <row r="12" spans="1:9" ht="14.25" customHeight="1" x14ac:dyDescent="0.3">
      <c r="A12" s="104">
        <v>503</v>
      </c>
      <c r="B12" s="105" t="s">
        <v>179</v>
      </c>
      <c r="C12" s="106">
        <f>SUMIFS(BUDGET[Total Cost CHF],BUDGET[Budget
Group],A12,BUDGET[Implemented by '[select']],"National Society")</f>
        <v>0</v>
      </c>
      <c r="D12" s="106">
        <f>SUMIFS(BUDGET[Total Cost CHF],BUDGET[Budget
Group],A12,BUDGET[Implemented by '[select']],"IFRC")</f>
        <v>0</v>
      </c>
      <c r="E12" s="106">
        <f>SUMIFS(BUDGET[Total Cost CHF],BUDGET[Budget
Group],A12)</f>
        <v>0</v>
      </c>
      <c r="G12" s="174">
        <f t="shared" si="0"/>
        <v>0</v>
      </c>
      <c r="H12" s="175" t="str">
        <f t="shared" si="1"/>
        <v xml:space="preserve"> </v>
      </c>
      <c r="I12" s="3"/>
    </row>
    <row r="13" spans="1:9" ht="14.25" customHeight="1" x14ac:dyDescent="0.3">
      <c r="A13" s="104">
        <v>505</v>
      </c>
      <c r="B13" s="105" t="s">
        <v>180</v>
      </c>
      <c r="C13" s="106">
        <f>SUMIFS(BUDGET[Total Cost CHF],BUDGET[Budget
Group],A13,BUDGET[Implemented by '[select']],"National Society")</f>
        <v>0</v>
      </c>
      <c r="D13" s="106">
        <f>SUMIFS(BUDGET[Total Cost CHF],BUDGET[Budget
Group],A13,BUDGET[Implemented by '[select']],"IFRC")</f>
        <v>0</v>
      </c>
      <c r="E13" s="106">
        <f>SUMIFS(BUDGET[Total Cost CHF],BUDGET[Budget
Group],A13)</f>
        <v>0</v>
      </c>
      <c r="G13" s="174">
        <f t="shared" si="0"/>
        <v>0</v>
      </c>
      <c r="H13" s="175" t="str">
        <f t="shared" si="1"/>
        <v xml:space="preserve"> </v>
      </c>
      <c r="I13" s="3"/>
    </row>
    <row r="14" spans="1:9" ht="14.25" customHeight="1" x14ac:dyDescent="0.3">
      <c r="A14" s="104">
        <v>510</v>
      </c>
      <c r="B14" s="105" t="s">
        <v>181</v>
      </c>
      <c r="C14" s="106">
        <f>SUMIFS(BUDGET[Total Cost CHF],BUDGET[Budget
Group],A14,BUDGET[Implemented by '[select']],"National Society")</f>
        <v>0</v>
      </c>
      <c r="D14" s="106">
        <f>SUMIFS(BUDGET[Total Cost CHF],BUDGET[Budget
Group],A14,BUDGET[Implemented by '[select']],"IFRC")</f>
        <v>0</v>
      </c>
      <c r="E14" s="106">
        <f>SUMIFS(BUDGET[Total Cost CHF],BUDGET[Budget
Group],A14)</f>
        <v>0</v>
      </c>
      <c r="G14" s="174">
        <f t="shared" si="0"/>
        <v>0</v>
      </c>
      <c r="H14" s="175" t="str">
        <f t="shared" si="1"/>
        <v xml:space="preserve"> </v>
      </c>
      <c r="I14" s="3"/>
    </row>
    <row r="15" spans="1:9" ht="14.25" customHeight="1" x14ac:dyDescent="0.3">
      <c r="A15" s="104">
        <v>520</v>
      </c>
      <c r="B15" s="105" t="s">
        <v>182</v>
      </c>
      <c r="C15" s="106">
        <f>SUMIFS(BUDGET[Total Cost CHF],BUDGET[Budget
Group],A15,BUDGET[Implemented by '[select']],"National Society")</f>
        <v>0</v>
      </c>
      <c r="D15" s="106">
        <f>SUMIFS(BUDGET[Total Cost CHF],BUDGET[Budget
Group],A15,BUDGET[Implemented by '[select']],"IFRC")</f>
        <v>0</v>
      </c>
      <c r="E15" s="106">
        <f>SUMIFS(BUDGET[Total Cost CHF],BUDGET[Budget
Group],A15)</f>
        <v>0</v>
      </c>
      <c r="G15" s="174">
        <f t="shared" si="0"/>
        <v>0</v>
      </c>
      <c r="H15" s="175" t="str">
        <f t="shared" si="1"/>
        <v xml:space="preserve"> </v>
      </c>
      <c r="I15" s="3"/>
    </row>
    <row r="16" spans="1:9" ht="14.25" customHeight="1" x14ac:dyDescent="0.3">
      <c r="A16" s="104">
        <v>523</v>
      </c>
      <c r="B16" s="105" t="s">
        <v>183</v>
      </c>
      <c r="C16" s="106">
        <f>SUMIFS(BUDGET[Total Cost CHF],BUDGET[Budget
Group],A16,BUDGET[Implemented by '[select']],"National Society")</f>
        <v>0</v>
      </c>
      <c r="D16" s="106">
        <f>SUMIFS(BUDGET[Total Cost CHF],BUDGET[Budget
Group],A16,BUDGET[Implemented by '[select']],"IFRC")</f>
        <v>0</v>
      </c>
      <c r="E16" s="106">
        <f>SUMIFS(BUDGET[Total Cost CHF],BUDGET[Budget
Group],A16)</f>
        <v>0</v>
      </c>
      <c r="G16" s="174">
        <f t="shared" si="0"/>
        <v>0</v>
      </c>
      <c r="H16" s="175" t="str">
        <f t="shared" si="1"/>
        <v xml:space="preserve"> </v>
      </c>
      <c r="I16" s="3"/>
    </row>
    <row r="17" spans="1:9" ht="14.25" customHeight="1" x14ac:dyDescent="0.3">
      <c r="A17" s="104">
        <v>530</v>
      </c>
      <c r="B17" s="105" t="s">
        <v>60</v>
      </c>
      <c r="C17" s="106">
        <f>SUMIFS(BUDGET[Total Cost CHF],BUDGET[Budget
Group],A17,BUDGET[Implemented by '[select']],"National Society")</f>
        <v>0</v>
      </c>
      <c r="D17" s="106">
        <f>SUMIFS(BUDGET[Total Cost CHF],BUDGET[Budget
Group],A17,BUDGET[Implemented by '[select']],"IFRC")</f>
        <v>0</v>
      </c>
      <c r="E17" s="106">
        <f>SUMIFS(BUDGET[Total Cost CHF],BUDGET[Budget
Group],A17)</f>
        <v>0</v>
      </c>
      <c r="G17" s="174">
        <f t="shared" si="0"/>
        <v>0</v>
      </c>
      <c r="H17" s="175" t="str">
        <f t="shared" si="1"/>
        <v xml:space="preserve"> </v>
      </c>
      <c r="I17" s="3"/>
    </row>
    <row r="18" spans="1:9" ht="14.25" customHeight="1" x14ac:dyDescent="0.3">
      <c r="A18" s="104">
        <v>540</v>
      </c>
      <c r="B18" s="105" t="s">
        <v>184</v>
      </c>
      <c r="C18" s="106">
        <f>SUMIFS(BUDGET[Total Cost CHF],BUDGET[Budget
Group],A18,BUDGET[Implemented by '[select']],"National Society")</f>
        <v>0</v>
      </c>
      <c r="D18" s="106">
        <f>SUMIFS(BUDGET[Total Cost CHF],BUDGET[Budget
Group],A18,BUDGET[Implemented by '[select']],"IFRC")</f>
        <v>0</v>
      </c>
      <c r="E18" s="106">
        <f>SUMIFS(BUDGET[Total Cost CHF],BUDGET[Budget
Group],A18)</f>
        <v>0</v>
      </c>
      <c r="G18" s="174">
        <f t="shared" si="0"/>
        <v>0</v>
      </c>
      <c r="H18" s="175" t="str">
        <f t="shared" si="1"/>
        <v xml:space="preserve"> </v>
      </c>
      <c r="I18" s="3"/>
    </row>
    <row r="19" spans="1:9" ht="14.25" customHeight="1" x14ac:dyDescent="0.3">
      <c r="A19" s="104">
        <v>550</v>
      </c>
      <c r="B19" s="105" t="s">
        <v>185</v>
      </c>
      <c r="C19" s="106">
        <f>SUMIFS(BUDGET[Total Cost CHF],BUDGET[Budget
Group],A19,BUDGET[Implemented by '[select']],"National Society")</f>
        <v>0</v>
      </c>
      <c r="D19" s="106">
        <f>SUMIFS(BUDGET[Total Cost CHF],BUDGET[Budget
Group],A19,BUDGET[Implemented by '[select']],"IFRC")</f>
        <v>0</v>
      </c>
      <c r="E19" s="106">
        <f>SUMIFS(BUDGET[Total Cost CHF],BUDGET[Budget
Group],A19)</f>
        <v>0</v>
      </c>
      <c r="G19" s="174">
        <f t="shared" si="0"/>
        <v>0</v>
      </c>
      <c r="H19" s="175" t="str">
        <f t="shared" si="1"/>
        <v xml:space="preserve"> </v>
      </c>
      <c r="I19" s="3"/>
    </row>
    <row r="20" spans="1:9" ht="14.25" customHeight="1" x14ac:dyDescent="0.3">
      <c r="A20" s="104">
        <v>560</v>
      </c>
      <c r="B20" s="105" t="s">
        <v>186</v>
      </c>
      <c r="C20" s="106">
        <f>SUMIFS(BUDGET[Total Cost CHF],BUDGET[Budget
Group],A20,BUDGET[Implemented by '[select']],"National Society")</f>
        <v>0</v>
      </c>
      <c r="D20" s="106">
        <f>SUMIFS(BUDGET[Total Cost CHF],BUDGET[Budget
Group],A20,BUDGET[Implemented by '[select']],"IFRC")</f>
        <v>0</v>
      </c>
      <c r="E20" s="106">
        <f>SUMIFS(BUDGET[Total Cost CHF],BUDGET[Budget
Group],A20)</f>
        <v>0</v>
      </c>
      <c r="G20" s="174">
        <f t="shared" si="0"/>
        <v>0</v>
      </c>
      <c r="H20" s="175" t="str">
        <f t="shared" si="1"/>
        <v xml:space="preserve"> </v>
      </c>
      <c r="I20" s="3"/>
    </row>
    <row r="21" spans="1:9" ht="14.25" customHeight="1" x14ac:dyDescent="0.3">
      <c r="A21" s="104">
        <v>570</v>
      </c>
      <c r="B21" s="105" t="s">
        <v>187</v>
      </c>
      <c r="C21" s="106">
        <f>SUMIFS(BUDGET[Total Cost CHF],BUDGET[Budget
Group],A21,BUDGET[Implemented by '[select']],"National Society")</f>
        <v>0</v>
      </c>
      <c r="D21" s="106">
        <f>SUMIFS(BUDGET[Total Cost CHF],BUDGET[Budget
Group],A21,BUDGET[Implemented by '[select']],"IFRC")</f>
        <v>0</v>
      </c>
      <c r="E21" s="106">
        <f>SUMIFS(BUDGET[Total Cost CHF],BUDGET[Budget
Group],A21)</f>
        <v>0</v>
      </c>
      <c r="G21" s="174">
        <f t="shared" si="0"/>
        <v>0</v>
      </c>
      <c r="H21" s="175" t="str">
        <f t="shared" si="1"/>
        <v xml:space="preserve"> </v>
      </c>
      <c r="I21" s="3"/>
    </row>
    <row r="22" spans="1:9" ht="14.25" customHeight="1" x14ac:dyDescent="0.3">
      <c r="A22" s="104">
        <v>571</v>
      </c>
      <c r="B22" s="105" t="s">
        <v>188</v>
      </c>
      <c r="C22" s="106">
        <f>SUMIFS(BUDGET[Total Cost CHF],BUDGET[Budget
Group],A22,BUDGET[Implemented by '[select']],"National Society")</f>
        <v>0</v>
      </c>
      <c r="D22" s="106">
        <f>SUMIFS(BUDGET[Total Cost CHF],BUDGET[Budget
Group],A22,BUDGET[Implemented by '[select']],"IFRC")</f>
        <v>0</v>
      </c>
      <c r="E22" s="106">
        <f>SUMIFS(BUDGET[Total Cost CHF],BUDGET[Budget
Group],A22)</f>
        <v>0</v>
      </c>
      <c r="G22" s="174">
        <f t="shared" si="0"/>
        <v>0</v>
      </c>
      <c r="H22" s="175" t="str">
        <f t="shared" si="1"/>
        <v xml:space="preserve"> </v>
      </c>
      <c r="I22" s="3"/>
    </row>
    <row r="23" spans="1:9" ht="14.25" customHeight="1" x14ac:dyDescent="0.3">
      <c r="A23" s="104">
        <v>578</v>
      </c>
      <c r="B23" s="105" t="s">
        <v>189</v>
      </c>
      <c r="C23" s="106">
        <f>SUMIFS(BUDGET[Total Cost CHF],BUDGET[Budget
Group],A23,BUDGET[Implemented by '[select']],"National Society")</f>
        <v>0</v>
      </c>
      <c r="D23" s="106">
        <f>SUMIFS(BUDGET[Total Cost CHF],BUDGET[Budget
Group],A23,BUDGET[Implemented by '[select']],"IFRC")</f>
        <v>0</v>
      </c>
      <c r="E23" s="106">
        <f>SUMIFS(BUDGET[Total Cost CHF],BUDGET[Budget
Group],A23)</f>
        <v>0</v>
      </c>
      <c r="G23" s="174">
        <f t="shared" si="0"/>
        <v>0</v>
      </c>
      <c r="H23" s="175" t="str">
        <f t="shared" si="1"/>
        <v xml:space="preserve"> </v>
      </c>
      <c r="I23" s="3"/>
    </row>
    <row r="24" spans="1:9" x14ac:dyDescent="0.3">
      <c r="A24" s="99"/>
      <c r="B24" s="102" t="s">
        <v>190</v>
      </c>
      <c r="C24" s="103">
        <f>SUM(C25:C30)</f>
        <v>0</v>
      </c>
      <c r="D24" s="103">
        <f>SUM(D25:D30)</f>
        <v>0</v>
      </c>
      <c r="E24" s="103">
        <f>SUM(E25:E30)</f>
        <v>0</v>
      </c>
      <c r="G24" s="174">
        <f t="shared" si="0"/>
        <v>0</v>
      </c>
      <c r="H24" s="175" t="str">
        <f t="shared" si="1"/>
        <v xml:space="preserve"> </v>
      </c>
      <c r="I24" s="3"/>
    </row>
    <row r="25" spans="1:9" ht="15" customHeight="1" x14ac:dyDescent="0.3">
      <c r="A25" s="104">
        <v>580</v>
      </c>
      <c r="B25" s="105" t="s">
        <v>191</v>
      </c>
      <c r="C25" s="106">
        <f>SUMIFS(BUDGET[Total Cost CHF],BUDGET[Budget
Group],A25,BUDGET[Implemented by '[select']],"National Society")</f>
        <v>0</v>
      </c>
      <c r="D25" s="106">
        <f>SUMIFS(BUDGET[Total Cost CHF],BUDGET[Budget
Group],A25,BUDGET[Implemented by '[select']],"IFRC")</f>
        <v>0</v>
      </c>
      <c r="E25" s="106">
        <f>SUMIFS(BUDGET[Total Cost CHF],BUDGET[Budget
Group],A25)</f>
        <v>0</v>
      </c>
      <c r="G25" s="174">
        <f t="shared" si="0"/>
        <v>0</v>
      </c>
      <c r="H25" s="175" t="str">
        <f t="shared" si="1"/>
        <v xml:space="preserve"> </v>
      </c>
      <c r="I25" s="3"/>
    </row>
    <row r="26" spans="1:9" ht="15" customHeight="1" x14ac:dyDescent="0.3">
      <c r="A26" s="104">
        <v>581</v>
      </c>
      <c r="B26" s="105" t="s">
        <v>192</v>
      </c>
      <c r="C26" s="106">
        <f>SUMIFS(BUDGET[Total Cost CHF],BUDGET[Budget
Group],A26,BUDGET[Implemented by '[select']],"National Society")</f>
        <v>0</v>
      </c>
      <c r="D26" s="106">
        <f>SUMIFS(BUDGET[Total Cost CHF],BUDGET[Budget
Group],A26,BUDGET[Implemented by '[select']],"IFRC")</f>
        <v>0</v>
      </c>
      <c r="E26" s="106">
        <f>SUMIFS(BUDGET[Total Cost CHF],BUDGET[Budget
Group],A26)</f>
        <v>0</v>
      </c>
      <c r="G26" s="174">
        <f t="shared" si="0"/>
        <v>0</v>
      </c>
      <c r="H26" s="175" t="str">
        <f t="shared" si="1"/>
        <v xml:space="preserve"> </v>
      </c>
      <c r="I26" s="3"/>
    </row>
    <row r="27" spans="1:9" ht="15" customHeight="1" x14ac:dyDescent="0.3">
      <c r="A27" s="104">
        <v>582</v>
      </c>
      <c r="B27" s="105" t="s">
        <v>193</v>
      </c>
      <c r="C27" s="106">
        <f>SUMIFS(BUDGET[Total Cost CHF],BUDGET[Budget
Group],A27,BUDGET[Implemented by '[select']],"National Society")</f>
        <v>0</v>
      </c>
      <c r="D27" s="106">
        <f>SUMIFS(BUDGET[Total Cost CHF],BUDGET[Budget
Group],A27,BUDGET[Implemented by '[select']],"IFRC")</f>
        <v>0</v>
      </c>
      <c r="E27" s="106">
        <f>SUMIFS(BUDGET[Total Cost CHF],BUDGET[Budget
Group],A27)</f>
        <v>0</v>
      </c>
      <c r="G27" s="174">
        <f t="shared" si="0"/>
        <v>0</v>
      </c>
      <c r="H27" s="175" t="str">
        <f t="shared" si="1"/>
        <v xml:space="preserve"> </v>
      </c>
      <c r="I27" s="3"/>
    </row>
    <row r="28" spans="1:9" ht="15" customHeight="1" x14ac:dyDescent="0.3">
      <c r="A28" s="104">
        <v>584</v>
      </c>
      <c r="B28" s="105" t="s">
        <v>194</v>
      </c>
      <c r="C28" s="106">
        <f>SUMIFS(BUDGET[Total Cost CHF],BUDGET[Budget
Group],A28,BUDGET[Implemented by '[select']],"National Society")</f>
        <v>0</v>
      </c>
      <c r="D28" s="106">
        <f>SUMIFS(BUDGET[Total Cost CHF],BUDGET[Budget
Group],A28,BUDGET[Implemented by '[select']],"IFRC")</f>
        <v>0</v>
      </c>
      <c r="E28" s="106">
        <f>SUMIFS(BUDGET[Total Cost CHF],BUDGET[Budget
Group],A28)</f>
        <v>0</v>
      </c>
      <c r="G28" s="174">
        <f t="shared" si="0"/>
        <v>0</v>
      </c>
      <c r="H28" s="175" t="str">
        <f t="shared" si="1"/>
        <v xml:space="preserve"> </v>
      </c>
      <c r="I28" s="3"/>
    </row>
    <row r="29" spans="1:9" ht="15" customHeight="1" x14ac:dyDescent="0.3">
      <c r="A29" s="104">
        <v>587</v>
      </c>
      <c r="B29" s="105" t="s">
        <v>195</v>
      </c>
      <c r="C29" s="106">
        <f>SUMIFS(BUDGET[Total Cost CHF],BUDGET[Budget
Group],A29,BUDGET[Implemented by '[select']],"National Society")</f>
        <v>0</v>
      </c>
      <c r="D29" s="106">
        <f>SUMIFS(BUDGET[Total Cost CHF],BUDGET[Budget
Group],A29,BUDGET[Implemented by '[select']],"IFRC")</f>
        <v>0</v>
      </c>
      <c r="E29" s="106">
        <f>SUMIFS(BUDGET[Total Cost CHF],BUDGET[Budget
Group],A29)</f>
        <v>0</v>
      </c>
      <c r="G29" s="174">
        <f t="shared" si="0"/>
        <v>0</v>
      </c>
      <c r="H29" s="175" t="str">
        <f t="shared" si="1"/>
        <v xml:space="preserve"> </v>
      </c>
      <c r="I29" s="3"/>
    </row>
    <row r="30" spans="1:9" ht="15" customHeight="1" x14ac:dyDescent="0.3">
      <c r="A30" s="104">
        <v>589</v>
      </c>
      <c r="B30" s="105" t="s">
        <v>196</v>
      </c>
      <c r="C30" s="106">
        <f>SUMIFS(BUDGET[Total Cost CHF],BUDGET[Budget
Group],A30,BUDGET[Implemented by '[select']],"National Society")</f>
        <v>0</v>
      </c>
      <c r="D30" s="106">
        <f>SUMIFS(BUDGET[Total Cost CHF],BUDGET[Budget
Group],A30,BUDGET[Implemented by '[select']],"IFRC")</f>
        <v>0</v>
      </c>
      <c r="E30" s="106">
        <f>SUMIFS(BUDGET[Total Cost CHF],BUDGET[Budget
Group],A30)</f>
        <v>0</v>
      </c>
      <c r="G30" s="174">
        <f t="shared" si="0"/>
        <v>0</v>
      </c>
      <c r="H30" s="175" t="str">
        <f t="shared" si="1"/>
        <v xml:space="preserve"> </v>
      </c>
      <c r="I30" s="3"/>
    </row>
    <row r="31" spans="1:9" x14ac:dyDescent="0.3">
      <c r="A31" s="99"/>
      <c r="B31" s="102" t="s">
        <v>197</v>
      </c>
      <c r="C31" s="103">
        <f>SUM(C32:C35)</f>
        <v>0</v>
      </c>
      <c r="D31" s="103">
        <f>SUM(D32:D35)</f>
        <v>0</v>
      </c>
      <c r="E31" s="103">
        <f>SUM(E32:E35)</f>
        <v>0</v>
      </c>
      <c r="G31" s="174">
        <f t="shared" si="0"/>
        <v>0</v>
      </c>
      <c r="H31" s="175" t="str">
        <f t="shared" si="1"/>
        <v xml:space="preserve"> </v>
      </c>
      <c r="I31" s="3"/>
    </row>
    <row r="32" spans="1:9" ht="14.25" customHeight="1" x14ac:dyDescent="0.3">
      <c r="A32" s="104">
        <v>590</v>
      </c>
      <c r="B32" s="105" t="s">
        <v>198</v>
      </c>
      <c r="C32" s="106">
        <f>SUMIFS(BUDGET[Total Cost CHF],BUDGET[Budget
Group],A32,BUDGET[Implemented by '[select']],"National Society")</f>
        <v>0</v>
      </c>
      <c r="D32" s="106">
        <f>SUMIFS(BUDGET[Total Cost CHF],BUDGET[Budget
Group],A32,BUDGET[Implemented by '[select']],"IFRC")</f>
        <v>0</v>
      </c>
      <c r="E32" s="106">
        <f>SUMIFS(BUDGET[Total Cost CHF],BUDGET[Budget
Group],A32)</f>
        <v>0</v>
      </c>
      <c r="G32" s="174">
        <f t="shared" si="0"/>
        <v>0</v>
      </c>
      <c r="H32" s="175" t="str">
        <f t="shared" si="1"/>
        <v xml:space="preserve"> </v>
      </c>
      <c r="I32" s="3"/>
    </row>
    <row r="33" spans="1:9" ht="14.25" customHeight="1" x14ac:dyDescent="0.3">
      <c r="A33" s="104">
        <v>592</v>
      </c>
      <c r="B33" s="105" t="s">
        <v>199</v>
      </c>
      <c r="C33" s="106">
        <f>SUMIFS(BUDGET[Total Cost CHF],BUDGET[Budget
Group],A33,BUDGET[Implemented by '[select']],"National Society")</f>
        <v>0</v>
      </c>
      <c r="D33" s="106">
        <f>SUMIFS(BUDGET[Total Cost CHF],BUDGET[Budget
Group],A33,BUDGET[Implemented by '[select']],"IFRC")</f>
        <v>0</v>
      </c>
      <c r="E33" s="106">
        <f>SUMIFS(BUDGET[Total Cost CHF],BUDGET[Budget
Group],A33)</f>
        <v>0</v>
      </c>
      <c r="G33" s="174">
        <f t="shared" si="0"/>
        <v>0</v>
      </c>
      <c r="H33" s="175" t="str">
        <f t="shared" si="1"/>
        <v xml:space="preserve"> </v>
      </c>
      <c r="I33" s="3"/>
    </row>
    <row r="34" spans="1:9" ht="14.25" customHeight="1" x14ac:dyDescent="0.3">
      <c r="A34" s="104">
        <v>593</v>
      </c>
      <c r="B34" s="105" t="s">
        <v>200</v>
      </c>
      <c r="C34" s="106">
        <f>SUMIFS(BUDGET[Total Cost CHF],BUDGET[Budget
Group],A34,BUDGET[Implemented by '[select']],"National Society")</f>
        <v>0</v>
      </c>
      <c r="D34" s="106">
        <f>SUMIFS(BUDGET[Total Cost CHF],BUDGET[Budget
Group],A34,BUDGET[Implemented by '[select']],"IFRC")</f>
        <v>0</v>
      </c>
      <c r="E34" s="106">
        <f>SUMIFS(BUDGET[Total Cost CHF],BUDGET[Budget
Group],A34)</f>
        <v>0</v>
      </c>
      <c r="G34" s="174">
        <f t="shared" si="0"/>
        <v>0</v>
      </c>
      <c r="H34" s="175" t="str">
        <f t="shared" si="1"/>
        <v xml:space="preserve"> </v>
      </c>
      <c r="I34" s="3"/>
    </row>
    <row r="35" spans="1:9" ht="14.25" customHeight="1" x14ac:dyDescent="0.3">
      <c r="A35" s="104">
        <v>594</v>
      </c>
      <c r="B35" s="105" t="s">
        <v>201</v>
      </c>
      <c r="C35" s="106">
        <f>SUMIFS(BUDGET[Total Cost CHF],BUDGET[Budget
Group],A35,BUDGET[Implemented by '[select']],"National Society")</f>
        <v>0</v>
      </c>
      <c r="D35" s="106">
        <f>SUMIFS(BUDGET[Total Cost CHF],BUDGET[Budget
Group],A35,BUDGET[Implemented by '[select']],"IFRC")</f>
        <v>0</v>
      </c>
      <c r="E35" s="106">
        <f>SUMIFS(BUDGET[Total Cost CHF],BUDGET[Budget
Group],A35)</f>
        <v>0</v>
      </c>
      <c r="G35" s="174">
        <f t="shared" si="0"/>
        <v>0</v>
      </c>
      <c r="H35" s="175" t="str">
        <f t="shared" si="1"/>
        <v xml:space="preserve"> </v>
      </c>
      <c r="I35" s="3"/>
    </row>
    <row r="36" spans="1:9" x14ac:dyDescent="0.3">
      <c r="A36" s="99"/>
      <c r="B36" s="102" t="s">
        <v>202</v>
      </c>
      <c r="C36" s="103">
        <f>SUM(C37:C40)</f>
        <v>0</v>
      </c>
      <c r="D36" s="103">
        <f>SUM(D37:D40)</f>
        <v>0</v>
      </c>
      <c r="E36" s="103">
        <f>SUM(E37:E40)</f>
        <v>0</v>
      </c>
      <c r="G36" s="174">
        <f t="shared" si="0"/>
        <v>0</v>
      </c>
      <c r="H36" s="175" t="str">
        <f t="shared" si="1"/>
        <v xml:space="preserve"> </v>
      </c>
      <c r="I36" s="3"/>
    </row>
    <row r="37" spans="1:9" ht="15" customHeight="1" x14ac:dyDescent="0.3">
      <c r="A37" s="104">
        <v>600</v>
      </c>
      <c r="B37" s="105" t="s">
        <v>203</v>
      </c>
      <c r="C37" s="106">
        <f>SUMIFS(BUDGET[Total Cost CHF],BUDGET[Budget
Group],A37,BUDGET[Implemented by '[select']],"National Society")</f>
        <v>0</v>
      </c>
      <c r="D37" s="106">
        <f>SUMIFS(BUDGET[Total Cost CHF],BUDGET[Budget
Group],A37,BUDGET[Implemented by '[select']],"IFRC")</f>
        <v>0</v>
      </c>
      <c r="E37" s="106">
        <f>SUMIFS(BUDGET[Total Cost CHF],BUDGET[Budget
Group],A37)</f>
        <v>0</v>
      </c>
      <c r="G37" s="174">
        <f t="shared" si="0"/>
        <v>0</v>
      </c>
      <c r="H37" s="175" t="str">
        <f t="shared" si="1"/>
        <v xml:space="preserve"> </v>
      </c>
      <c r="I37" s="3"/>
    </row>
    <row r="38" spans="1:9" ht="15" customHeight="1" x14ac:dyDescent="0.3">
      <c r="A38" s="104">
        <v>661</v>
      </c>
      <c r="B38" s="105" t="s">
        <v>204</v>
      </c>
      <c r="C38" s="106">
        <f>SUMIFS(BUDGET[Total Cost CHF],BUDGET[Budget
Group],A38,BUDGET[Implemented by '[select']],"National Society")</f>
        <v>0</v>
      </c>
      <c r="D38" s="106">
        <f>SUMIFS(BUDGET[Total Cost CHF],BUDGET[Budget
Group],A38,BUDGET[Implemented by '[select']],"IFRC")</f>
        <v>0</v>
      </c>
      <c r="E38" s="106">
        <f>SUMIFS(BUDGET[Total Cost CHF],BUDGET[Budget
Group],A38)</f>
        <v>0</v>
      </c>
      <c r="G38" s="174">
        <f t="shared" si="0"/>
        <v>0</v>
      </c>
      <c r="H38" s="175" t="str">
        <f t="shared" si="1"/>
        <v xml:space="preserve"> </v>
      </c>
      <c r="I38" s="3"/>
    </row>
    <row r="39" spans="1:9" ht="15" customHeight="1" x14ac:dyDescent="0.3">
      <c r="A39" s="104">
        <v>662</v>
      </c>
      <c r="B39" s="105" t="s">
        <v>205</v>
      </c>
      <c r="C39" s="106">
        <f>SUMIFS(BUDGET[Total Cost CHF],BUDGET[Budget
Group],A39,BUDGET[Implemented by '[select']],"National Society")</f>
        <v>0</v>
      </c>
      <c r="D39" s="106">
        <f>SUMIFS(BUDGET[Total Cost CHF],BUDGET[Budget
Group],A39,BUDGET[Implemented by '[select']],"IFRC")</f>
        <v>0</v>
      </c>
      <c r="E39" s="106">
        <f>SUMIFS(BUDGET[Total Cost CHF],BUDGET[Budget
Group],A39)</f>
        <v>0</v>
      </c>
      <c r="G39" s="174">
        <f t="shared" si="0"/>
        <v>0</v>
      </c>
      <c r="H39" s="175" t="str">
        <f t="shared" si="1"/>
        <v xml:space="preserve"> </v>
      </c>
      <c r="I39" s="3"/>
    </row>
    <row r="40" spans="1:9" ht="15" customHeight="1" x14ac:dyDescent="0.3">
      <c r="A40" s="104">
        <v>667</v>
      </c>
      <c r="B40" s="105" t="s">
        <v>206</v>
      </c>
      <c r="C40" s="106">
        <f>SUMIFS(BUDGET[Total Cost CHF],BUDGET[Budget
Group],A40,BUDGET[Implemented by '[select']],"National Society")</f>
        <v>0</v>
      </c>
      <c r="D40" s="106">
        <f>SUMIFS(BUDGET[Total Cost CHF],BUDGET[Budget
Group],A40,BUDGET[Implemented by '[select']],"IFRC")</f>
        <v>0</v>
      </c>
      <c r="E40" s="106">
        <f>SUMIFS(BUDGET[Total Cost CHF],BUDGET[Budget
Group],A40)</f>
        <v>0</v>
      </c>
      <c r="G40" s="174">
        <f t="shared" si="0"/>
        <v>0</v>
      </c>
      <c r="H40" s="175" t="str">
        <f t="shared" si="1"/>
        <v xml:space="preserve"> </v>
      </c>
      <c r="I40" s="3"/>
    </row>
    <row r="41" spans="1:9" x14ac:dyDescent="0.3">
      <c r="A41" s="99"/>
      <c r="B41" s="102" t="s">
        <v>207</v>
      </c>
      <c r="C41" s="103">
        <f>SUM(C42:C43)</f>
        <v>0</v>
      </c>
      <c r="D41" s="103">
        <f>SUM(D42:D43)</f>
        <v>0</v>
      </c>
      <c r="E41" s="103">
        <f>SUM(E42:E43)</f>
        <v>0</v>
      </c>
      <c r="G41" s="174">
        <f t="shared" si="0"/>
        <v>0</v>
      </c>
      <c r="H41" s="175" t="str">
        <f t="shared" si="1"/>
        <v xml:space="preserve"> </v>
      </c>
      <c r="I41" s="3"/>
    </row>
    <row r="42" spans="1:9" ht="14.25" customHeight="1" x14ac:dyDescent="0.3">
      <c r="A42" s="104">
        <v>670</v>
      </c>
      <c r="B42" s="105" t="s">
        <v>208</v>
      </c>
      <c r="C42" s="106">
        <f>SUMIFS(BUDGET[Total Cost CHF],BUDGET[Budget
Group],A42,BUDGET[Implemented by '[select']],"National Society")</f>
        <v>0</v>
      </c>
      <c r="D42" s="106">
        <f>SUMIFS(BUDGET[Total Cost CHF],BUDGET[Budget
Group],A42,BUDGET[Implemented by '[select']],"IFRC")</f>
        <v>0</v>
      </c>
      <c r="E42" s="106">
        <f>SUMIFS(BUDGET[Total Cost CHF],BUDGET[Budget
Group],A42)</f>
        <v>0</v>
      </c>
      <c r="G42" s="174">
        <f t="shared" si="0"/>
        <v>0</v>
      </c>
      <c r="H42" s="175" t="str">
        <f t="shared" si="1"/>
        <v xml:space="preserve"> </v>
      </c>
      <c r="I42" s="3"/>
    </row>
    <row r="43" spans="1:9" ht="14.25" customHeight="1" x14ac:dyDescent="0.3">
      <c r="A43" s="104">
        <v>750</v>
      </c>
      <c r="B43" s="105" t="s">
        <v>209</v>
      </c>
      <c r="C43" s="106">
        <f>SUMIFS(BUDGET[Total Cost CHF],BUDGET[Budget
Group],A43,BUDGET[Implemented by '[select']],"National Society")</f>
        <v>0</v>
      </c>
      <c r="D43" s="106">
        <f>SUMIFS(BUDGET[Total Cost CHF],BUDGET[Budget
Group],A43,BUDGET[Implemented by '[select']],"IFRC")</f>
        <v>0</v>
      </c>
      <c r="E43" s="106">
        <f>SUMIFS(BUDGET[Total Cost CHF],BUDGET[Budget
Group],A43)</f>
        <v>0</v>
      </c>
      <c r="G43" s="174">
        <f t="shared" si="0"/>
        <v>0</v>
      </c>
      <c r="H43" s="175" t="str">
        <f t="shared" si="1"/>
        <v xml:space="preserve"> </v>
      </c>
      <c r="I43" s="3"/>
    </row>
    <row r="44" spans="1:9" x14ac:dyDescent="0.3">
      <c r="A44" s="99"/>
      <c r="B44" s="102" t="s">
        <v>210</v>
      </c>
      <c r="C44" s="103">
        <f>SUM(C45)</f>
        <v>0</v>
      </c>
      <c r="D44" s="103">
        <f>SUM(D45)</f>
        <v>0</v>
      </c>
      <c r="E44" s="103">
        <f>SUM(E45)</f>
        <v>0</v>
      </c>
      <c r="G44" s="174">
        <f t="shared" si="0"/>
        <v>0</v>
      </c>
      <c r="H44" s="175" t="str">
        <f t="shared" si="1"/>
        <v xml:space="preserve"> </v>
      </c>
      <c r="I44" s="3"/>
    </row>
    <row r="45" spans="1:9" ht="14.25" customHeight="1" x14ac:dyDescent="0.3">
      <c r="A45" s="104">
        <v>680</v>
      </c>
      <c r="B45" s="105" t="s">
        <v>211</v>
      </c>
      <c r="C45" s="106">
        <f>SUMIFS(BUDGET[Total Cost CHF],BUDGET[Budget
Group],A45,BUDGET[Implemented by '[select']],"National Society")</f>
        <v>0</v>
      </c>
      <c r="D45" s="106">
        <f>SUMIFS(BUDGET[Total Cost CHF],BUDGET[Budget
Group],A45,BUDGET[Implemented by '[select']],"IFRC")</f>
        <v>0</v>
      </c>
      <c r="E45" s="106">
        <f>SUMIFS(BUDGET[Total Cost CHF],BUDGET[Budget
Group],A45)</f>
        <v>0</v>
      </c>
      <c r="G45" s="174">
        <f t="shared" si="0"/>
        <v>0</v>
      </c>
      <c r="H45" s="175" t="str">
        <f t="shared" si="1"/>
        <v xml:space="preserve"> </v>
      </c>
      <c r="I45" s="3"/>
    </row>
    <row r="46" spans="1:9" x14ac:dyDescent="0.3">
      <c r="A46" s="99"/>
      <c r="B46" s="102" t="s">
        <v>212</v>
      </c>
      <c r="C46" s="103">
        <f>SUM(C47:C53)</f>
        <v>0</v>
      </c>
      <c r="D46" s="103">
        <f>SUM(D47:D53)</f>
        <v>0</v>
      </c>
      <c r="E46" s="103">
        <f>SUM(E47:E53)</f>
        <v>0</v>
      </c>
      <c r="G46" s="174">
        <f t="shared" si="0"/>
        <v>0</v>
      </c>
      <c r="H46" s="175" t="str">
        <f t="shared" si="1"/>
        <v xml:space="preserve"> </v>
      </c>
      <c r="I46" s="3"/>
    </row>
    <row r="47" spans="1:9" ht="14.25" customHeight="1" x14ac:dyDescent="0.3">
      <c r="A47" s="104">
        <v>700</v>
      </c>
      <c r="B47" s="105" t="s">
        <v>213</v>
      </c>
      <c r="C47" s="106">
        <f>SUMIFS(BUDGET[Total Cost CHF],BUDGET[Budget
Group],A47,BUDGET[Implemented by '[select']],"National Society")</f>
        <v>0</v>
      </c>
      <c r="D47" s="106">
        <f>SUMIFS(BUDGET[Total Cost CHF],BUDGET[Budget
Group],A47,BUDGET[Implemented by '[select']],"IFRC")</f>
        <v>0</v>
      </c>
      <c r="E47" s="106">
        <f>SUMIFS(BUDGET[Total Cost CHF],BUDGET[Budget
Group],A47)</f>
        <v>0</v>
      </c>
      <c r="G47" s="174">
        <f t="shared" si="0"/>
        <v>0</v>
      </c>
      <c r="H47" s="175" t="str">
        <f t="shared" si="1"/>
        <v xml:space="preserve"> </v>
      </c>
      <c r="I47" s="3"/>
    </row>
    <row r="48" spans="1:9" ht="14.25" customHeight="1" x14ac:dyDescent="0.3">
      <c r="A48" s="104">
        <v>710</v>
      </c>
      <c r="B48" s="105" t="s">
        <v>214</v>
      </c>
      <c r="C48" s="106">
        <f>SUMIFS(BUDGET[Total Cost CHF],BUDGET[Budget
Group],A48,BUDGET[Implemented by '[select']],"National Society")</f>
        <v>0</v>
      </c>
      <c r="D48" s="106">
        <f>SUMIFS(BUDGET[Total Cost CHF],BUDGET[Budget
Group],A48,BUDGET[Implemented by '[select']],"IFRC")</f>
        <v>0</v>
      </c>
      <c r="E48" s="106">
        <f>SUMIFS(BUDGET[Total Cost CHF],BUDGET[Budget
Group],A48)</f>
        <v>0</v>
      </c>
      <c r="G48" s="174">
        <f t="shared" si="0"/>
        <v>0</v>
      </c>
      <c r="H48" s="175" t="str">
        <f t="shared" si="1"/>
        <v xml:space="preserve"> </v>
      </c>
      <c r="I48" s="3"/>
    </row>
    <row r="49" spans="1:9" ht="14.25" customHeight="1" x14ac:dyDescent="0.3">
      <c r="A49" s="104">
        <v>730</v>
      </c>
      <c r="B49" s="105" t="s">
        <v>215</v>
      </c>
      <c r="C49" s="106">
        <f>SUMIFS(BUDGET[Total Cost CHF],BUDGET[Budget
Group],A49,BUDGET[Implemented by '[select']],"National Society")</f>
        <v>0</v>
      </c>
      <c r="D49" s="106">
        <f>SUMIFS(BUDGET[Total Cost CHF],BUDGET[Budget
Group],A49,BUDGET[Implemented by '[select']],"IFRC")</f>
        <v>0</v>
      </c>
      <c r="E49" s="106">
        <f>SUMIFS(BUDGET[Total Cost CHF],BUDGET[Budget
Group],A49)</f>
        <v>0</v>
      </c>
      <c r="G49" s="174">
        <f t="shared" si="0"/>
        <v>0</v>
      </c>
      <c r="H49" s="175" t="str">
        <f t="shared" si="1"/>
        <v xml:space="preserve"> </v>
      </c>
      <c r="I49" s="3"/>
    </row>
    <row r="50" spans="1:9" ht="14.25" customHeight="1" x14ac:dyDescent="0.3">
      <c r="A50" s="104">
        <v>740</v>
      </c>
      <c r="B50" s="105" t="s">
        <v>216</v>
      </c>
      <c r="C50" s="106">
        <f>SUMIFS(BUDGET[Total Cost CHF],BUDGET[Budget
Group],A50,BUDGET[Implemented by '[select']],"National Society")</f>
        <v>0</v>
      </c>
      <c r="D50" s="106">
        <f>SUMIFS(BUDGET[Total Cost CHF],BUDGET[Budget
Group],A50,BUDGET[Implemented by '[select']],"IFRC")</f>
        <v>0</v>
      </c>
      <c r="E50" s="106">
        <f>SUMIFS(BUDGET[Total Cost CHF],BUDGET[Budget
Group],A50)</f>
        <v>0</v>
      </c>
      <c r="G50" s="174">
        <f t="shared" si="0"/>
        <v>0</v>
      </c>
      <c r="H50" s="175" t="str">
        <f t="shared" si="1"/>
        <v xml:space="preserve"> </v>
      </c>
      <c r="I50" s="3"/>
    </row>
    <row r="51" spans="1:9" ht="14.25" customHeight="1" x14ac:dyDescent="0.3">
      <c r="A51" s="104">
        <v>760</v>
      </c>
      <c r="B51" s="105" t="s">
        <v>217</v>
      </c>
      <c r="C51" s="106">
        <f>SUMIFS(BUDGET[Total Cost CHF],BUDGET[Budget
Group],A51,BUDGET[Implemented by '[select']],"National Society")</f>
        <v>0</v>
      </c>
      <c r="D51" s="106">
        <f>SUMIFS(BUDGET[Total Cost CHF],BUDGET[Budget
Group],A51,BUDGET[Implemented by '[select']],"IFRC")</f>
        <v>0</v>
      </c>
      <c r="E51" s="106">
        <f>SUMIFS(BUDGET[Total Cost CHF],BUDGET[Budget
Group],A51)</f>
        <v>0</v>
      </c>
      <c r="G51" s="174">
        <f t="shared" si="0"/>
        <v>0</v>
      </c>
      <c r="H51" s="175" t="str">
        <f t="shared" si="1"/>
        <v xml:space="preserve"> </v>
      </c>
      <c r="I51" s="3"/>
    </row>
    <row r="52" spans="1:9" ht="14.25" customHeight="1" x14ac:dyDescent="0.3">
      <c r="A52" s="104">
        <v>790</v>
      </c>
      <c r="B52" s="105" t="s">
        <v>218</v>
      </c>
      <c r="C52" s="106">
        <f>SUMIFS(BUDGET[Total Cost CHF],BUDGET[Budget
Group],A52,BUDGET[Implemented by '[select']],"National Society")</f>
        <v>0</v>
      </c>
      <c r="D52" s="106">
        <f>SUMIFS(BUDGET[Total Cost CHF],BUDGET[Budget
Group],A52,BUDGET[Implemented by '[select']],"IFRC")</f>
        <v>0</v>
      </c>
      <c r="E52" s="106">
        <f>SUMIFS(BUDGET[Total Cost CHF],BUDGET[Budget
Group],A52)</f>
        <v>0</v>
      </c>
      <c r="G52" s="174">
        <f t="shared" si="0"/>
        <v>0</v>
      </c>
      <c r="H52" s="175" t="str">
        <f t="shared" si="1"/>
        <v xml:space="preserve"> </v>
      </c>
      <c r="I52" s="3"/>
    </row>
    <row r="53" spans="1:9" ht="14.25" customHeight="1" x14ac:dyDescent="0.3">
      <c r="A53" s="104">
        <v>799</v>
      </c>
      <c r="B53" s="105" t="s">
        <v>219</v>
      </c>
      <c r="C53" s="106">
        <f>SUMIFS(BUDGET[Total Cost CHF],BUDGET[Budget
Group],A53,BUDGET[Implemented by '[select']],"National Society")</f>
        <v>0</v>
      </c>
      <c r="D53" s="106">
        <f>SUMIFS(BUDGET[Total Cost CHF],BUDGET[Budget
Group],A53,BUDGET[Implemented by '[select']],"IFRC")</f>
        <v>0</v>
      </c>
      <c r="E53" s="106">
        <f>SUMIFS(BUDGET[Total Cost CHF],BUDGET[Budget
Group],A53)</f>
        <v>0</v>
      </c>
      <c r="G53" s="174">
        <f t="shared" si="0"/>
        <v>0</v>
      </c>
      <c r="H53" s="175" t="str">
        <f t="shared" si="1"/>
        <v xml:space="preserve"> </v>
      </c>
      <c r="I53" s="3"/>
    </row>
    <row r="54" spans="1:9" x14ac:dyDescent="0.3">
      <c r="A54" s="99"/>
      <c r="B54" s="102" t="s">
        <v>220</v>
      </c>
      <c r="C54" s="103">
        <f>SUM(C55)</f>
        <v>0</v>
      </c>
      <c r="D54" s="103">
        <f>SUM(D55)</f>
        <v>0</v>
      </c>
      <c r="E54" s="103">
        <f>SUM(E55)</f>
        <v>0</v>
      </c>
      <c r="G54" s="174">
        <f t="shared" si="0"/>
        <v>0</v>
      </c>
      <c r="H54" s="175" t="str">
        <f t="shared" si="1"/>
        <v xml:space="preserve"> </v>
      </c>
      <c r="I54" s="3"/>
    </row>
    <row r="55" spans="1:9" ht="14.25" customHeight="1" x14ac:dyDescent="0.3">
      <c r="A55" s="107">
        <v>798</v>
      </c>
      <c r="B55" s="108" t="s">
        <v>221</v>
      </c>
      <c r="C55" s="106">
        <f>SUMIFS(BUDGET[Total Cost CHF],BUDGET[Budget
Group],A55,BUDGET[Implemented by '[select']],"National Society")</f>
        <v>0</v>
      </c>
      <c r="D55" s="106">
        <f>SUMIFS(BUDGET[Total Cost CHF],BUDGET[Budget
Group],A55,BUDGET[Implemented by '[select']],"IFRC")</f>
        <v>0</v>
      </c>
      <c r="E55" s="109">
        <f>SUMIFS(BUDGET[Total Cost CHF],BUDGET[Budget
Group],A55)</f>
        <v>0</v>
      </c>
      <c r="G55" s="174">
        <f t="shared" si="0"/>
        <v>0</v>
      </c>
      <c r="H55" s="175" t="str">
        <f t="shared" si="1"/>
        <v xml:space="preserve"> </v>
      </c>
      <c r="I55" s="3"/>
    </row>
    <row r="56" spans="1:9" x14ac:dyDescent="0.3">
      <c r="A56" s="99"/>
      <c r="B56" s="102" t="s">
        <v>222</v>
      </c>
      <c r="C56" s="103">
        <f>SUM(C57:C58)</f>
        <v>0</v>
      </c>
      <c r="D56" s="103">
        <f>SUM(D57:D58)</f>
        <v>0</v>
      </c>
      <c r="E56" s="103">
        <f>SUM(E57:E58)</f>
        <v>0</v>
      </c>
      <c r="G56" s="174">
        <f t="shared" si="0"/>
        <v>0</v>
      </c>
      <c r="H56" s="175" t="str">
        <f t="shared" si="1"/>
        <v xml:space="preserve"> </v>
      </c>
      <c r="I56" s="3"/>
    </row>
    <row r="57" spans="1:9" ht="14.25" customHeight="1" x14ac:dyDescent="0.3">
      <c r="A57" s="110">
        <v>830</v>
      </c>
      <c r="B57" s="105" t="s">
        <v>223</v>
      </c>
      <c r="C57" s="106">
        <f>SUMIFS(BUDGET[Total Cost CHF],BUDGET[Budget
Group],A57,BUDGET[Implemented by '[select']],"National Society")</f>
        <v>0</v>
      </c>
      <c r="D57" s="106">
        <f>SUMIFS(BUDGET[Total Cost CHF],BUDGET[Budget
Group],A57,BUDGET[Implemented by '[select']],"IFRC")</f>
        <v>0</v>
      </c>
      <c r="E57" s="106">
        <f>SUMIFS(BUDGET[Total Cost CHF],BUDGET[Budget
Group],A57)</f>
        <v>0</v>
      </c>
      <c r="G57" s="174">
        <f t="shared" si="0"/>
        <v>0</v>
      </c>
      <c r="H57" s="175" t="str">
        <f t="shared" si="1"/>
        <v xml:space="preserve"> </v>
      </c>
      <c r="I57" s="3"/>
    </row>
    <row r="58" spans="1:9" ht="14.25" customHeight="1" x14ac:dyDescent="0.3">
      <c r="A58" s="111">
        <v>831</v>
      </c>
      <c r="B58" s="112" t="s">
        <v>224</v>
      </c>
      <c r="C58" s="172">
        <f>SUMIFS(BUDGET[Total Cost CHF],BUDGET[Budget
Group],A58,BUDGET[Implemented by '[select']],"National Society")</f>
        <v>0</v>
      </c>
      <c r="D58" s="172">
        <f>SUMIFS(BUDGET[Total Cost CHF],BUDGET[Budget
Group],A58,BUDGET[Implemented by '[select']],"IFRC")</f>
        <v>0</v>
      </c>
      <c r="E58" s="113">
        <f>SUMIFS(BUDGET[Total Cost CHF],BUDGET[Budget
Group],A58)</f>
        <v>0</v>
      </c>
      <c r="G58" s="174">
        <f t="shared" si="0"/>
        <v>0</v>
      </c>
      <c r="H58" s="175" t="str">
        <f t="shared" si="1"/>
        <v xml:space="preserve"> </v>
      </c>
      <c r="I58" s="3"/>
    </row>
    <row r="59" spans="1:9" ht="3" customHeight="1" x14ac:dyDescent="0.3">
      <c r="B59" s="7"/>
      <c r="C59" s="173"/>
      <c r="D59" s="173"/>
      <c r="E59" s="173"/>
      <c r="G59" s="174">
        <f t="shared" ref="G59" si="2">+C59+D59-E59</f>
        <v>0</v>
      </c>
      <c r="H59" s="209" t="s">
        <v>225</v>
      </c>
      <c r="I59" s="3"/>
    </row>
    <row r="60" spans="1:9" x14ac:dyDescent="0.3">
      <c r="A60" s="114"/>
      <c r="B60" s="115" t="s">
        <v>226</v>
      </c>
      <c r="C60" s="116">
        <f t="shared" ref="C60:D60" si="3">+C8+C24+C31+C36+C41+C44+C46+C54+C56</f>
        <v>0</v>
      </c>
      <c r="D60" s="116">
        <f t="shared" si="3"/>
        <v>0</v>
      </c>
      <c r="E60" s="116">
        <f>+E8+E24+E31+E36+E41+E44+E46+E54+E56</f>
        <v>0</v>
      </c>
      <c r="G60" s="174">
        <f>+BUDGET[[#Totals],[Total Cost CHF]]</f>
        <v>0</v>
      </c>
      <c r="H60" s="210">
        <f>+E60-G60</f>
        <v>0</v>
      </c>
      <c r="I60" s="175" t="str">
        <f>IF(H60&lt;&gt;0, "Check budget lines for variances", " ")</f>
        <v xml:space="preserve"> </v>
      </c>
    </row>
    <row r="61" spans="1:9" x14ac:dyDescent="0.3">
      <c r="A61" s="117"/>
      <c r="B61" s="118" t="s">
        <v>151</v>
      </c>
      <c r="C61" s="119">
        <f t="shared" ref="C61:D61" si="4">ROUND(C60*6.5/100,2)</f>
        <v>0</v>
      </c>
      <c r="D61" s="119">
        <f t="shared" si="4"/>
        <v>0</v>
      </c>
      <c r="E61" s="119">
        <f>ROUND(E60*6.5/100,2)</f>
        <v>0</v>
      </c>
      <c r="G61" s="174">
        <f>+TOT_INDIRECT</f>
        <v>0</v>
      </c>
      <c r="H61" s="210">
        <f>+E61-G61</f>
        <v>0</v>
      </c>
      <c r="I61" s="211"/>
    </row>
    <row r="62" spans="1:9" x14ac:dyDescent="0.3">
      <c r="A62" s="120"/>
      <c r="B62" s="121" t="s">
        <v>152</v>
      </c>
      <c r="C62" s="122">
        <f t="shared" ref="C62:D62" si="5">+C60+C61</f>
        <v>0</v>
      </c>
      <c r="D62" s="122">
        <f t="shared" si="5"/>
        <v>0</v>
      </c>
      <c r="E62" s="122">
        <f>+E60+E61</f>
        <v>0</v>
      </c>
      <c r="G62" s="174">
        <f>+TOT_BUDGET</f>
        <v>0</v>
      </c>
      <c r="H62" s="210">
        <f>+E62-G62</f>
        <v>0</v>
      </c>
      <c r="I62" s="211"/>
    </row>
  </sheetData>
  <sheetProtection algorithmName="SHA-512" hashValue="q0R4pOO6067U4V0LCq3AAxLsPBzSB0cl54IrqrpMoHGWKjusP8xHLO+QbHLNMB4TsTpOkekb75nbw4wp0OdGbw==" saltValue="w7+VQZQU4o/mmhFQnfzu/Q==" spinCount="100000" sheet="1" autoFilter="0"/>
  <autoFilter ref="E7:E62" xr:uid="{757460E5-543C-497E-A3A8-2C9D1AE5B2A1}"/>
  <conditionalFormatting sqref="G8:G58">
    <cfRule type="cellIs" dxfId="16" priority="4" operator="notEqual">
      <formula>0</formula>
    </cfRule>
  </conditionalFormatting>
  <conditionalFormatting sqref="H8:H58">
    <cfRule type="containsText" dxfId="15" priority="3" operator="containsText" text="Check">
      <formula>NOT(ISERROR(SEARCH("Check",H8)))</formula>
    </cfRule>
  </conditionalFormatting>
  <conditionalFormatting sqref="H60:H62">
    <cfRule type="cellIs" dxfId="14" priority="2" operator="notBetween">
      <formula>-0.9</formula>
      <formula>0.09</formula>
    </cfRule>
  </conditionalFormatting>
  <conditionalFormatting sqref="I60">
    <cfRule type="containsText" dxfId="13" priority="1" operator="containsText" text="Check">
      <formula>NOT(ISERROR(SEARCH("Check",I60)))</formula>
    </cfRule>
  </conditionalFormatting>
  <printOptions horizontalCentered="1"/>
  <pageMargins left="0.59055118110236227" right="0.59055118110236227" top="0.39370078740157483" bottom="0.62992125984251968" header="0.31496062992125984" footer="0.31496062992125984"/>
  <pageSetup paperSize="9" orientation="portrait" r:id="rId1"/>
  <headerFooter>
    <oddFooter>&amp;C&amp;K00-049&amp;D&amp;R&amp;"Arial,Regular"&amp;9&amp;K00-049V2022.01&amp;L&amp;1#&amp;"Calibri"&amp;10&amp;K000000Internal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B312-4BD1-4306-8057-F6D7CD997115}">
  <sheetPr codeName="Sheet4">
    <tabColor theme="2" tint="-0.249977111117893"/>
    <pageSetUpPr fitToPage="1"/>
  </sheetPr>
  <dimension ref="A1:C55"/>
  <sheetViews>
    <sheetView workbookViewId="0">
      <selection activeCell="C1" sqref="C1"/>
    </sheetView>
  </sheetViews>
  <sheetFormatPr defaultColWidth="8.85546875" defaultRowHeight="15" x14ac:dyDescent="0.3"/>
  <cols>
    <col min="1" max="1" width="8.28515625" style="7" customWidth="1"/>
    <col min="2" max="2" width="34.7109375" style="7" customWidth="1"/>
    <col min="3" max="3" width="90.5703125" style="7" customWidth="1"/>
    <col min="4" max="16384" width="8.85546875" style="7"/>
  </cols>
  <sheetData>
    <row r="1" spans="1:3" s="1" customFormat="1" ht="36" customHeight="1" x14ac:dyDescent="0.5">
      <c r="C1" s="14" t="s">
        <v>227</v>
      </c>
    </row>
    <row r="2" spans="1:3" ht="36" customHeight="1" x14ac:dyDescent="0.3"/>
    <row r="3" spans="1:3" s="9" customFormat="1" ht="22.7" customHeight="1" x14ac:dyDescent="0.25">
      <c r="A3" s="8" t="s">
        <v>228</v>
      </c>
      <c r="B3" s="8" t="s">
        <v>229</v>
      </c>
      <c r="C3" s="8" t="s">
        <v>16</v>
      </c>
    </row>
    <row r="4" spans="1:3" s="9" customFormat="1" ht="25.7" customHeight="1" x14ac:dyDescent="0.25">
      <c r="A4" s="10"/>
      <c r="B4" s="11" t="s">
        <v>175</v>
      </c>
      <c r="C4" s="12" t="s">
        <v>230</v>
      </c>
    </row>
    <row r="5" spans="1:3" ht="15.6" customHeight="1" x14ac:dyDescent="0.3">
      <c r="A5" s="16">
        <v>500</v>
      </c>
      <c r="B5" s="17" t="s">
        <v>176</v>
      </c>
      <c r="C5" s="18" t="s">
        <v>231</v>
      </c>
    </row>
    <row r="6" spans="1:3" ht="15.6" customHeight="1" x14ac:dyDescent="0.3">
      <c r="A6" s="16">
        <v>501</v>
      </c>
      <c r="B6" s="17" t="s">
        <v>177</v>
      </c>
      <c r="C6" s="18" t="s">
        <v>232</v>
      </c>
    </row>
    <row r="7" spans="1:3" ht="15.6" customHeight="1" x14ac:dyDescent="0.3">
      <c r="A7" s="16">
        <v>502</v>
      </c>
      <c r="B7" s="17" t="s">
        <v>178</v>
      </c>
      <c r="C7" s="18" t="s">
        <v>233</v>
      </c>
    </row>
    <row r="8" spans="1:3" ht="15.6" customHeight="1" x14ac:dyDescent="0.3">
      <c r="A8" s="16">
        <v>503</v>
      </c>
      <c r="B8" s="17" t="s">
        <v>179</v>
      </c>
      <c r="C8" s="18" t="s">
        <v>234</v>
      </c>
    </row>
    <row r="9" spans="1:3" ht="15.6" customHeight="1" x14ac:dyDescent="0.3">
      <c r="A9" s="16">
        <v>505</v>
      </c>
      <c r="B9" s="17" t="s">
        <v>180</v>
      </c>
      <c r="C9" s="18" t="s">
        <v>235</v>
      </c>
    </row>
    <row r="10" spans="1:3" ht="15.6" customHeight="1" x14ac:dyDescent="0.3">
      <c r="A10" s="16">
        <v>510</v>
      </c>
      <c r="B10" s="17" t="s">
        <v>181</v>
      </c>
      <c r="C10" s="18" t="s">
        <v>236</v>
      </c>
    </row>
    <row r="11" spans="1:3" ht="15.6" customHeight="1" x14ac:dyDescent="0.3">
      <c r="A11" s="16">
        <v>520</v>
      </c>
      <c r="B11" s="17" t="s">
        <v>182</v>
      </c>
      <c r="C11" s="18" t="s">
        <v>237</v>
      </c>
    </row>
    <row r="12" spans="1:3" ht="15.6" customHeight="1" x14ac:dyDescent="0.3">
      <c r="A12" s="16">
        <v>523</v>
      </c>
      <c r="B12" s="17" t="s">
        <v>183</v>
      </c>
      <c r="C12" s="18" t="s">
        <v>238</v>
      </c>
    </row>
    <row r="13" spans="1:3" ht="30" customHeight="1" x14ac:dyDescent="0.3">
      <c r="A13" s="16">
        <v>530</v>
      </c>
      <c r="B13" s="17" t="s">
        <v>60</v>
      </c>
      <c r="C13" s="18" t="s">
        <v>239</v>
      </c>
    </row>
    <row r="14" spans="1:3" ht="15.6" customHeight="1" x14ac:dyDescent="0.3">
      <c r="A14" s="16">
        <v>540</v>
      </c>
      <c r="B14" s="17" t="s">
        <v>184</v>
      </c>
      <c r="C14" s="18" t="s">
        <v>240</v>
      </c>
    </row>
    <row r="15" spans="1:3" ht="15.6" customHeight="1" x14ac:dyDescent="0.3">
      <c r="A15" s="16">
        <v>550</v>
      </c>
      <c r="B15" s="17" t="s">
        <v>185</v>
      </c>
      <c r="C15" s="18" t="s">
        <v>241</v>
      </c>
    </row>
    <row r="16" spans="1:3" ht="15.6" customHeight="1" x14ac:dyDescent="0.3">
      <c r="A16" s="16">
        <v>560</v>
      </c>
      <c r="B16" s="17" t="s">
        <v>186</v>
      </c>
      <c r="C16" s="18" t="s">
        <v>242</v>
      </c>
    </row>
    <row r="17" spans="1:3" ht="15.6" customHeight="1" x14ac:dyDescent="0.3">
      <c r="A17" s="16">
        <v>570</v>
      </c>
      <c r="B17" s="17" t="s">
        <v>187</v>
      </c>
      <c r="C17" s="18" t="s">
        <v>243</v>
      </c>
    </row>
    <row r="18" spans="1:3" ht="15.6" customHeight="1" x14ac:dyDescent="0.3">
      <c r="A18" s="16">
        <v>571</v>
      </c>
      <c r="B18" s="17" t="s">
        <v>188</v>
      </c>
      <c r="C18" s="18" t="s">
        <v>244</v>
      </c>
    </row>
    <row r="19" spans="1:3" ht="15.6" customHeight="1" x14ac:dyDescent="0.3">
      <c r="A19" s="16">
        <v>578</v>
      </c>
      <c r="B19" s="17" t="s">
        <v>189</v>
      </c>
      <c r="C19" s="18" t="s">
        <v>245</v>
      </c>
    </row>
    <row r="20" spans="1:3" s="9" customFormat="1" ht="25.7" customHeight="1" x14ac:dyDescent="0.25">
      <c r="A20" s="10"/>
      <c r="B20" s="11" t="s">
        <v>190</v>
      </c>
      <c r="C20" s="12" t="s">
        <v>246</v>
      </c>
    </row>
    <row r="21" spans="1:3" ht="15.6" customHeight="1" x14ac:dyDescent="0.3">
      <c r="A21" s="16">
        <v>580</v>
      </c>
      <c r="B21" s="17" t="s">
        <v>191</v>
      </c>
      <c r="C21" s="18" t="s">
        <v>247</v>
      </c>
    </row>
    <row r="22" spans="1:3" ht="15.6" customHeight="1" x14ac:dyDescent="0.3">
      <c r="A22" s="16">
        <v>581</v>
      </c>
      <c r="B22" s="17" t="s">
        <v>192</v>
      </c>
      <c r="C22" s="19" t="s">
        <v>248</v>
      </c>
    </row>
    <row r="23" spans="1:3" ht="15.6" customHeight="1" x14ac:dyDescent="0.3">
      <c r="A23" s="16">
        <v>582</v>
      </c>
      <c r="B23" s="17" t="s">
        <v>193</v>
      </c>
      <c r="C23" s="19" t="s">
        <v>249</v>
      </c>
    </row>
    <row r="24" spans="1:3" ht="15.6" customHeight="1" x14ac:dyDescent="0.3">
      <c r="A24" s="16">
        <v>584</v>
      </c>
      <c r="B24" s="17" t="s">
        <v>194</v>
      </c>
      <c r="C24" s="19" t="s">
        <v>250</v>
      </c>
    </row>
    <row r="25" spans="1:3" ht="15.6" customHeight="1" x14ac:dyDescent="0.3">
      <c r="A25" s="16">
        <v>587</v>
      </c>
      <c r="B25" s="17" t="s">
        <v>195</v>
      </c>
      <c r="C25" s="19" t="s">
        <v>251</v>
      </c>
    </row>
    <row r="26" spans="1:3" ht="15.6" customHeight="1" x14ac:dyDescent="0.3">
      <c r="A26" s="16">
        <v>589</v>
      </c>
      <c r="B26" s="17" t="s">
        <v>196</v>
      </c>
      <c r="C26" s="19" t="s">
        <v>252</v>
      </c>
    </row>
    <row r="27" spans="1:3" s="9" customFormat="1" ht="25.7" customHeight="1" x14ac:dyDescent="0.25">
      <c r="A27" s="10"/>
      <c r="B27" s="11" t="s">
        <v>197</v>
      </c>
      <c r="C27" s="12" t="s">
        <v>253</v>
      </c>
    </row>
    <row r="28" spans="1:3" ht="30" customHeight="1" x14ac:dyDescent="0.3">
      <c r="A28" s="16">
        <v>590</v>
      </c>
      <c r="B28" s="17" t="s">
        <v>198</v>
      </c>
      <c r="C28" s="18" t="s">
        <v>254</v>
      </c>
    </row>
    <row r="29" spans="1:3" ht="30" customHeight="1" x14ac:dyDescent="0.3">
      <c r="A29" s="16">
        <v>592</v>
      </c>
      <c r="B29" s="17" t="s">
        <v>199</v>
      </c>
      <c r="C29" s="18" t="s">
        <v>255</v>
      </c>
    </row>
    <row r="30" spans="1:3" ht="30" customHeight="1" x14ac:dyDescent="0.3">
      <c r="A30" s="16">
        <v>593</v>
      </c>
      <c r="B30" s="17" t="s">
        <v>200</v>
      </c>
      <c r="C30" s="18" t="s">
        <v>256</v>
      </c>
    </row>
    <row r="31" spans="1:3" ht="15.6" customHeight="1" x14ac:dyDescent="0.3">
      <c r="A31" s="16">
        <v>594</v>
      </c>
      <c r="B31" s="17" t="s">
        <v>201</v>
      </c>
      <c r="C31" s="18" t="s">
        <v>257</v>
      </c>
    </row>
    <row r="32" spans="1:3" ht="25.7" customHeight="1" x14ac:dyDescent="0.3">
      <c r="A32" s="10"/>
      <c r="B32" s="11" t="s">
        <v>202</v>
      </c>
      <c r="C32" s="12" t="s">
        <v>258</v>
      </c>
    </row>
    <row r="33" spans="1:3" ht="30" customHeight="1" x14ac:dyDescent="0.3">
      <c r="A33" s="16">
        <v>600</v>
      </c>
      <c r="B33" s="17" t="s">
        <v>203</v>
      </c>
      <c r="C33" s="18" t="s">
        <v>259</v>
      </c>
    </row>
    <row r="34" spans="1:3" ht="15.6" customHeight="1" x14ac:dyDescent="0.3">
      <c r="A34" s="16">
        <v>661</v>
      </c>
      <c r="B34" s="17" t="s">
        <v>204</v>
      </c>
      <c r="C34" s="18" t="s">
        <v>260</v>
      </c>
    </row>
    <row r="35" spans="1:3" ht="30" customHeight="1" x14ac:dyDescent="0.3">
      <c r="A35" s="16">
        <v>662</v>
      </c>
      <c r="B35" s="17" t="s">
        <v>205</v>
      </c>
      <c r="C35" s="18" t="s">
        <v>261</v>
      </c>
    </row>
    <row r="36" spans="1:3" ht="15.6" customHeight="1" x14ac:dyDescent="0.3">
      <c r="A36" s="16">
        <v>667</v>
      </c>
      <c r="B36" s="17" t="s">
        <v>206</v>
      </c>
      <c r="C36" s="18" t="s">
        <v>262</v>
      </c>
    </row>
    <row r="37" spans="1:3" ht="25.7" customHeight="1" x14ac:dyDescent="0.3">
      <c r="A37" s="10"/>
      <c r="B37" s="11" t="s">
        <v>207</v>
      </c>
      <c r="C37" s="12" t="s">
        <v>263</v>
      </c>
    </row>
    <row r="38" spans="1:3" ht="15.6" customHeight="1" x14ac:dyDescent="0.3">
      <c r="A38" s="16">
        <v>670</v>
      </c>
      <c r="B38" s="17" t="s">
        <v>208</v>
      </c>
      <c r="C38" s="18" t="s">
        <v>264</v>
      </c>
    </row>
    <row r="39" spans="1:3" ht="15.6" customHeight="1" x14ac:dyDescent="0.3">
      <c r="A39" s="16">
        <v>750</v>
      </c>
      <c r="B39" s="17" t="s">
        <v>209</v>
      </c>
      <c r="C39" s="18" t="s">
        <v>265</v>
      </c>
    </row>
    <row r="40" spans="1:3" ht="25.7" customHeight="1" x14ac:dyDescent="0.3">
      <c r="A40" s="10"/>
      <c r="B40" s="11" t="s">
        <v>210</v>
      </c>
      <c r="C40" s="12" t="s">
        <v>266</v>
      </c>
    </row>
    <row r="41" spans="1:3" ht="30" customHeight="1" x14ac:dyDescent="0.3">
      <c r="A41" s="16">
        <v>680</v>
      </c>
      <c r="B41" s="17" t="s">
        <v>211</v>
      </c>
      <c r="C41" s="18" t="s">
        <v>267</v>
      </c>
    </row>
    <row r="42" spans="1:3" ht="25.7" customHeight="1" x14ac:dyDescent="0.3">
      <c r="A42" s="10"/>
      <c r="B42" s="11" t="s">
        <v>212</v>
      </c>
      <c r="C42" s="12" t="s">
        <v>268</v>
      </c>
    </row>
    <row r="43" spans="1:3" ht="30" customHeight="1" x14ac:dyDescent="0.3">
      <c r="A43" s="16">
        <v>700</v>
      </c>
      <c r="B43" s="17" t="s">
        <v>213</v>
      </c>
      <c r="C43" s="18" t="s">
        <v>269</v>
      </c>
    </row>
    <row r="44" spans="1:3" ht="39.6" customHeight="1" x14ac:dyDescent="0.3">
      <c r="A44" s="16">
        <v>710</v>
      </c>
      <c r="B44" s="17" t="s">
        <v>214</v>
      </c>
      <c r="C44" s="18" t="s">
        <v>270</v>
      </c>
    </row>
    <row r="45" spans="1:3" ht="39.6" customHeight="1" x14ac:dyDescent="0.3">
      <c r="A45" s="16">
        <v>730</v>
      </c>
      <c r="B45" s="17" t="s">
        <v>215</v>
      </c>
      <c r="C45" s="18" t="s">
        <v>271</v>
      </c>
    </row>
    <row r="46" spans="1:3" ht="15.6" customHeight="1" x14ac:dyDescent="0.3">
      <c r="A46" s="16">
        <v>740</v>
      </c>
      <c r="B46" s="17" t="s">
        <v>216</v>
      </c>
      <c r="C46" s="18" t="s">
        <v>272</v>
      </c>
    </row>
    <row r="47" spans="1:3" ht="15.6" customHeight="1" x14ac:dyDescent="0.3">
      <c r="A47" s="16">
        <v>760</v>
      </c>
      <c r="B47" s="17" t="s">
        <v>217</v>
      </c>
      <c r="C47" s="18" t="s">
        <v>273</v>
      </c>
    </row>
    <row r="48" spans="1:3" ht="15.6" customHeight="1" x14ac:dyDescent="0.3">
      <c r="A48" s="16">
        <v>790</v>
      </c>
      <c r="B48" s="17" t="s">
        <v>218</v>
      </c>
      <c r="C48" s="18" t="s">
        <v>274</v>
      </c>
    </row>
    <row r="49" spans="1:3" ht="15.6" customHeight="1" x14ac:dyDescent="0.3">
      <c r="A49" s="16">
        <v>799</v>
      </c>
      <c r="B49" s="17" t="s">
        <v>219</v>
      </c>
      <c r="C49" s="18" t="s">
        <v>275</v>
      </c>
    </row>
    <row r="50" spans="1:3" ht="25.7" customHeight="1" x14ac:dyDescent="0.3">
      <c r="A50" s="10"/>
      <c r="B50" s="11" t="s">
        <v>220</v>
      </c>
      <c r="C50" s="12" t="s">
        <v>276</v>
      </c>
    </row>
    <row r="51" spans="1:3" ht="30" customHeight="1" x14ac:dyDescent="0.3">
      <c r="A51" s="16">
        <v>798</v>
      </c>
      <c r="B51" s="17" t="s">
        <v>221</v>
      </c>
      <c r="C51" s="18" t="s">
        <v>277</v>
      </c>
    </row>
    <row r="52" spans="1:3" ht="25.7" customHeight="1" x14ac:dyDescent="0.3">
      <c r="A52" s="10"/>
      <c r="B52" s="11" t="s">
        <v>222</v>
      </c>
      <c r="C52" s="12" t="s">
        <v>278</v>
      </c>
    </row>
    <row r="53" spans="1:3" ht="15.6" customHeight="1" x14ac:dyDescent="0.3">
      <c r="A53" s="16">
        <v>830</v>
      </c>
      <c r="B53" s="17" t="s">
        <v>223</v>
      </c>
      <c r="C53" s="18" t="s">
        <v>279</v>
      </c>
    </row>
    <row r="54" spans="1:3" ht="15.6" customHeight="1" x14ac:dyDescent="0.3">
      <c r="A54" s="16">
        <v>831</v>
      </c>
      <c r="B54" s="17" t="s">
        <v>224</v>
      </c>
      <c r="C54" s="18" t="s">
        <v>280</v>
      </c>
    </row>
    <row r="55" spans="1:3" x14ac:dyDescent="0.3">
      <c r="C55" s="13"/>
    </row>
  </sheetData>
  <sheetProtection algorithmName="SHA-512" hashValue="HW3uKcTS4GHpPX3QGSAbfxzip0704oFh/ngjSoHj6hlgZ36/iOWNZnEe/FkXZ9JGEjSeKVsOcnAqLN2lMiws0w==" saltValue="y/IMYxHy1slVEXuA25DVcA==" spinCount="100000" sheet="1" autoFilter="0"/>
  <printOptions horizontalCentered="1"/>
  <pageMargins left="0.39370078740157483" right="0.47244094488188981" top="0.39370078740157483" bottom="0.39370078740157483" header="0.31496062992125984" footer="0.31496062992125984"/>
  <pageSetup paperSize="9" scale="70" orientation="portrait" horizontalDpi="1200" verticalDpi="1200" r:id="rId1"/>
  <headerFooter>
    <oddFooter>&amp;L&amp;1#&amp;"Calibri"&amp;10&amp;K000000Internal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5F7AD-92DE-48A4-A545-A71F653C8D81}">
  <sheetPr codeName="Sheet8">
    <tabColor theme="4" tint="0.79998168889431442"/>
    <pageSetUpPr fitToPage="1"/>
  </sheetPr>
  <dimension ref="A1:J315"/>
  <sheetViews>
    <sheetView zoomScale="98" zoomScaleNormal="98" workbookViewId="0">
      <selection activeCell="E7" sqref="E7"/>
    </sheetView>
  </sheetViews>
  <sheetFormatPr defaultColWidth="9.140625" defaultRowHeight="11.25" x14ac:dyDescent="0.15"/>
  <cols>
    <col min="1" max="1" width="18.140625" style="85" bestFit="1" customWidth="1"/>
    <col min="2" max="2" width="16.28515625" style="86" bestFit="1" customWidth="1"/>
    <col min="3" max="3" width="9.28515625" style="86" customWidth="1"/>
    <col min="4" max="4" width="10" style="85" customWidth="1"/>
    <col min="5" max="5" width="58.7109375" style="85" customWidth="1"/>
    <col min="6" max="6" width="11.85546875" style="85" customWidth="1"/>
    <col min="7" max="7" width="12.7109375" style="181" customWidth="1"/>
    <col min="8" max="8" width="12.5703125" style="86" customWidth="1"/>
    <col min="9" max="9" width="8.7109375" style="85" customWidth="1"/>
    <col min="10" max="10" width="15.5703125" style="85" customWidth="1"/>
    <col min="11" max="16384" width="9.140625" style="85"/>
  </cols>
  <sheetData>
    <row r="1" spans="1:10" s="88" customFormat="1" ht="15" x14ac:dyDescent="0.3">
      <c r="A1" s="15" t="s">
        <v>0</v>
      </c>
      <c r="B1" s="178"/>
      <c r="C1" s="178"/>
      <c r="F1" s="89" t="str">
        <f>VERSION</f>
        <v>V2025.01.2</v>
      </c>
    </row>
    <row r="2" spans="1:10" s="88" customFormat="1" ht="27.75" x14ac:dyDescent="0.5">
      <c r="A2" s="22" t="s">
        <v>281</v>
      </c>
      <c r="C2" s="178"/>
      <c r="G2" s="180"/>
      <c r="H2" s="90" t="s">
        <v>2</v>
      </c>
    </row>
    <row r="3" spans="1:10" s="88" customFormat="1" ht="10.5" customHeight="1" x14ac:dyDescent="0.5">
      <c r="A3" s="22"/>
      <c r="C3" s="178"/>
      <c r="G3" s="180"/>
      <c r="H3" s="90"/>
    </row>
    <row r="4" spans="1:10" s="88" customFormat="1" ht="19.5" customHeight="1" x14ac:dyDescent="0.15">
      <c r="A4" s="245" t="s">
        <v>282</v>
      </c>
      <c r="B4" s="245"/>
      <c r="C4" s="245"/>
      <c r="D4" s="245"/>
      <c r="E4" s="245"/>
      <c r="F4" s="245"/>
      <c r="G4" s="180"/>
      <c r="H4" s="90"/>
    </row>
    <row r="5" spans="1:10" ht="15" x14ac:dyDescent="0.25">
      <c r="A5"/>
      <c r="B5"/>
      <c r="C5"/>
      <c r="D5"/>
      <c r="E5"/>
      <c r="F5"/>
      <c r="G5"/>
      <c r="H5"/>
      <c r="I5"/>
      <c r="J5" s="182"/>
    </row>
    <row r="6" spans="1:10" ht="15" x14ac:dyDescent="0.25">
      <c r="A6" s="202" t="s">
        <v>283</v>
      </c>
      <c r="B6" s="202" t="s">
        <v>284</v>
      </c>
      <c r="C6" s="202" t="s">
        <v>285</v>
      </c>
      <c r="D6" s="202" t="s">
        <v>286</v>
      </c>
      <c r="E6" s="202" t="s">
        <v>16</v>
      </c>
      <c r="F6" t="s">
        <v>287</v>
      </c>
      <c r="G6"/>
      <c r="H6"/>
      <c r="I6"/>
      <c r="J6" s="182"/>
    </row>
    <row r="7" spans="1:10" ht="15" x14ac:dyDescent="0.25">
      <c r="A7" s="224" t="s">
        <v>288</v>
      </c>
      <c r="B7"/>
      <c r="C7"/>
      <c r="D7"/>
      <c r="E7"/>
      <c r="F7" s="182">
        <v>0</v>
      </c>
      <c r="G7"/>
      <c r="H7"/>
      <c r="I7"/>
      <c r="J7" s="182"/>
    </row>
    <row r="8" spans="1:10" ht="15" x14ac:dyDescent="0.25">
      <c r="A8" s="224" t="s">
        <v>289</v>
      </c>
      <c r="B8"/>
      <c r="C8"/>
      <c r="D8"/>
      <c r="E8"/>
      <c r="F8" s="182">
        <v>0</v>
      </c>
      <c r="G8"/>
      <c r="H8"/>
      <c r="I8"/>
      <c r="J8" s="182"/>
    </row>
    <row r="9" spans="1:10" ht="15" x14ac:dyDescent="0.25">
      <c r="A9"/>
      <c r="B9"/>
      <c r="C9"/>
      <c r="D9"/>
      <c r="E9"/>
      <c r="F9"/>
      <c r="G9"/>
      <c r="H9"/>
      <c r="I9"/>
      <c r="J9" s="182"/>
    </row>
    <row r="10" spans="1:10" ht="15" x14ac:dyDescent="0.25">
      <c r="A10"/>
      <c r="B10"/>
      <c r="C10"/>
      <c r="D10"/>
      <c r="E10"/>
      <c r="F10"/>
      <c r="G10"/>
      <c r="H10"/>
      <c r="I10"/>
      <c r="J10" s="182"/>
    </row>
    <row r="11" spans="1:10" ht="15" x14ac:dyDescent="0.25">
      <c r="A11"/>
      <c r="B11"/>
      <c r="C11"/>
      <c r="D11"/>
      <c r="E11"/>
      <c r="F11"/>
      <c r="G11"/>
      <c r="H11"/>
      <c r="I11"/>
      <c r="J11" s="182"/>
    </row>
    <row r="12" spans="1:10" ht="15" x14ac:dyDescent="0.25">
      <c r="A12"/>
      <c r="B12"/>
      <c r="C12"/>
      <c r="D12"/>
      <c r="E12"/>
      <c r="F12"/>
      <c r="G12"/>
      <c r="H12"/>
      <c r="I12"/>
      <c r="J12" s="182"/>
    </row>
    <row r="13" spans="1:10" ht="15" x14ac:dyDescent="0.25">
      <c r="A13"/>
      <c r="B13"/>
      <c r="C13"/>
      <c r="D13"/>
      <c r="E13"/>
      <c r="F13"/>
      <c r="G13"/>
      <c r="H13"/>
      <c r="I13"/>
      <c r="J13" s="182"/>
    </row>
    <row r="14" spans="1:10" ht="15" x14ac:dyDescent="0.25">
      <c r="A14"/>
      <c r="B14"/>
      <c r="C14"/>
      <c r="D14"/>
      <c r="E14"/>
      <c r="F14"/>
      <c r="G14"/>
      <c r="H14"/>
      <c r="I14"/>
      <c r="J14" s="182"/>
    </row>
    <row r="15" spans="1:10" ht="15" x14ac:dyDescent="0.25">
      <c r="A15"/>
      <c r="B15"/>
      <c r="C15"/>
      <c r="D15"/>
      <c r="E15"/>
      <c r="F15"/>
      <c r="G15"/>
      <c r="H15"/>
      <c r="I15"/>
      <c r="J15" s="182"/>
    </row>
    <row r="16" spans="1:10" ht="15" x14ac:dyDescent="0.25">
      <c r="A16"/>
      <c r="B16"/>
      <c r="C16"/>
      <c r="D16"/>
      <c r="E16"/>
      <c r="F16"/>
      <c r="G16"/>
      <c r="H16"/>
      <c r="I16"/>
      <c r="J16" s="182"/>
    </row>
    <row r="17" spans="1:10" ht="15" x14ac:dyDescent="0.25">
      <c r="A17"/>
      <c r="B17"/>
      <c r="C17"/>
      <c r="D17"/>
      <c r="E17"/>
      <c r="F17"/>
      <c r="G17"/>
      <c r="H17"/>
      <c r="I17"/>
      <c r="J17" s="182"/>
    </row>
    <row r="18" spans="1:10" ht="15" x14ac:dyDescent="0.25">
      <c r="A18"/>
      <c r="B18"/>
      <c r="C18"/>
      <c r="D18"/>
      <c r="E18"/>
      <c r="F18"/>
      <c r="G18"/>
      <c r="H18"/>
      <c r="I18"/>
      <c r="J18" s="182"/>
    </row>
    <row r="19" spans="1:10" ht="15" x14ac:dyDescent="0.25">
      <c r="A19"/>
      <c r="B19"/>
      <c r="C19"/>
      <c r="D19"/>
      <c r="E19"/>
      <c r="F19"/>
      <c r="G19"/>
      <c r="H19"/>
      <c r="I19"/>
      <c r="J19" s="182"/>
    </row>
    <row r="20" spans="1:10" ht="15" x14ac:dyDescent="0.25">
      <c r="A20"/>
      <c r="B20"/>
      <c r="C20"/>
      <c r="D20"/>
      <c r="E20"/>
      <c r="F20"/>
      <c r="G20"/>
      <c r="H20"/>
      <c r="I20"/>
      <c r="J20" s="182"/>
    </row>
    <row r="21" spans="1:10" ht="15" x14ac:dyDescent="0.25">
      <c r="A21"/>
      <c r="B21"/>
      <c r="C21"/>
      <c r="D21"/>
      <c r="E21"/>
      <c r="F21"/>
      <c r="G21"/>
      <c r="H21"/>
      <c r="I21"/>
      <c r="J21" s="182"/>
    </row>
    <row r="22" spans="1:10" ht="15" x14ac:dyDescent="0.25">
      <c r="A22"/>
      <c r="B22"/>
      <c r="C22"/>
      <c r="D22"/>
      <c r="E22"/>
      <c r="F22"/>
      <c r="G22"/>
      <c r="H22"/>
      <c r="I22"/>
      <c r="J22" s="182"/>
    </row>
    <row r="23" spans="1:10" ht="15" x14ac:dyDescent="0.25">
      <c r="A23"/>
      <c r="B23"/>
      <c r="C23"/>
      <c r="D23"/>
      <c r="E23"/>
      <c r="F23"/>
      <c r="G23"/>
      <c r="H23"/>
      <c r="I23"/>
      <c r="J23" s="182"/>
    </row>
    <row r="24" spans="1:10" ht="15" x14ac:dyDescent="0.25">
      <c r="A24"/>
      <c r="B24"/>
      <c r="C24"/>
      <c r="D24"/>
      <c r="E24"/>
      <c r="F24"/>
      <c r="G24"/>
      <c r="H24"/>
      <c r="I24"/>
      <c r="J24" s="182"/>
    </row>
    <row r="25" spans="1:10" ht="15" x14ac:dyDescent="0.25">
      <c r="A25"/>
      <c r="B25"/>
      <c r="C25"/>
      <c r="D25"/>
      <c r="E25"/>
      <c r="F25"/>
      <c r="G25"/>
      <c r="H25"/>
      <c r="I25"/>
      <c r="J25" s="182"/>
    </row>
    <row r="26" spans="1:10" ht="15" x14ac:dyDescent="0.25">
      <c r="A26"/>
      <c r="B26"/>
      <c r="C26"/>
      <c r="D26"/>
      <c r="E26"/>
      <c r="F26"/>
      <c r="G26"/>
      <c r="H26"/>
      <c r="I26"/>
      <c r="J26" s="182"/>
    </row>
    <row r="27" spans="1:10" ht="15" x14ac:dyDescent="0.25">
      <c r="A27"/>
      <c r="B27"/>
      <c r="C27"/>
      <c r="D27"/>
      <c r="E27"/>
      <c r="F27"/>
      <c r="G27"/>
      <c r="H27"/>
      <c r="I27"/>
      <c r="J27" s="182"/>
    </row>
    <row r="28" spans="1:10" ht="15" x14ac:dyDescent="0.25">
      <c r="A28"/>
      <c r="B28"/>
      <c r="C28"/>
      <c r="D28"/>
      <c r="E28"/>
      <c r="F28"/>
      <c r="G28"/>
      <c r="H28"/>
      <c r="I28"/>
      <c r="J28" s="182"/>
    </row>
    <row r="29" spans="1:10" ht="15" x14ac:dyDescent="0.25">
      <c r="A29"/>
      <c r="B29"/>
      <c r="C29"/>
      <c r="D29"/>
      <c r="E29"/>
      <c r="F29"/>
      <c r="G29"/>
      <c r="H29"/>
      <c r="I29"/>
      <c r="J29" s="182"/>
    </row>
    <row r="30" spans="1:10" ht="15" x14ac:dyDescent="0.25">
      <c r="A30"/>
      <c r="B30"/>
      <c r="C30"/>
      <c r="D30"/>
      <c r="E30"/>
      <c r="F30"/>
      <c r="G30"/>
      <c r="H30"/>
      <c r="I30"/>
      <c r="J30" s="182"/>
    </row>
    <row r="31" spans="1:10" ht="15" x14ac:dyDescent="0.25">
      <c r="A31"/>
      <c r="B31"/>
      <c r="C31"/>
      <c r="D31"/>
      <c r="E31"/>
      <c r="F31"/>
      <c r="G31"/>
      <c r="H31"/>
      <c r="I31"/>
      <c r="J31" s="182"/>
    </row>
    <row r="32" spans="1:10" ht="15" x14ac:dyDescent="0.25">
      <c r="A32"/>
      <c r="B32"/>
      <c r="C32"/>
      <c r="D32"/>
      <c r="E32"/>
      <c r="F32"/>
      <c r="G32"/>
      <c r="H32"/>
      <c r="I32"/>
      <c r="J32" s="182"/>
    </row>
    <row r="33" spans="1:10" ht="15" x14ac:dyDescent="0.25">
      <c r="A33"/>
      <c r="B33"/>
      <c r="C33"/>
      <c r="D33"/>
      <c r="E33"/>
      <c r="F33"/>
      <c r="G33"/>
      <c r="H33"/>
      <c r="I33"/>
      <c r="J33" s="182"/>
    </row>
    <row r="34" spans="1:10" ht="15" x14ac:dyDescent="0.25">
      <c r="A34"/>
      <c r="B34"/>
      <c r="C34"/>
      <c r="D34"/>
      <c r="E34"/>
      <c r="F34"/>
      <c r="G34"/>
      <c r="H34"/>
      <c r="I34"/>
      <c r="J34" s="182"/>
    </row>
    <row r="35" spans="1:10" ht="15" x14ac:dyDescent="0.25">
      <c r="A35"/>
      <c r="B35"/>
      <c r="C35"/>
      <c r="D35"/>
      <c r="E35"/>
      <c r="F35"/>
      <c r="G35"/>
      <c r="H35"/>
      <c r="I35"/>
      <c r="J35" s="182"/>
    </row>
    <row r="36" spans="1:10" ht="15" x14ac:dyDescent="0.25">
      <c r="A36"/>
      <c r="B36"/>
      <c r="C36"/>
      <c r="D36"/>
      <c r="E36"/>
      <c r="F36"/>
      <c r="G36"/>
      <c r="H36"/>
      <c r="I36"/>
      <c r="J36" s="182"/>
    </row>
    <row r="37" spans="1:10" ht="15" x14ac:dyDescent="0.25">
      <c r="A37"/>
      <c r="B37"/>
      <c r="C37"/>
      <c r="D37"/>
      <c r="E37"/>
      <c r="F37"/>
      <c r="G37"/>
      <c r="H37"/>
      <c r="I37"/>
      <c r="J37" s="182"/>
    </row>
    <row r="38" spans="1:10" ht="15" x14ac:dyDescent="0.25">
      <c r="A38"/>
      <c r="B38"/>
      <c r="C38"/>
      <c r="D38"/>
      <c r="E38"/>
      <c r="F38"/>
      <c r="G38"/>
      <c r="H38"/>
      <c r="I38"/>
      <c r="J38" s="182"/>
    </row>
    <row r="39" spans="1:10" ht="15" x14ac:dyDescent="0.25">
      <c r="A39"/>
      <c r="B39"/>
      <c r="C39"/>
      <c r="D39"/>
      <c r="E39"/>
      <c r="F39"/>
      <c r="G39"/>
      <c r="H39"/>
      <c r="I39"/>
      <c r="J39" s="182"/>
    </row>
    <row r="40" spans="1:10" ht="15" x14ac:dyDescent="0.25">
      <c r="A40"/>
      <c r="B40"/>
      <c r="C40"/>
      <c r="D40"/>
      <c r="E40"/>
      <c r="F40"/>
      <c r="G40"/>
      <c r="H40"/>
      <c r="I40"/>
      <c r="J40" s="182"/>
    </row>
    <row r="41" spans="1:10" ht="15" x14ac:dyDescent="0.25">
      <c r="A41"/>
      <c r="B41"/>
      <c r="C41"/>
      <c r="D41"/>
      <c r="E41"/>
      <c r="F41"/>
      <c r="G41"/>
      <c r="H41"/>
      <c r="I41"/>
      <c r="J41" s="182"/>
    </row>
    <row r="42" spans="1:10" ht="15" x14ac:dyDescent="0.25">
      <c r="A42"/>
      <c r="B42"/>
      <c r="C42"/>
      <c r="D42"/>
      <c r="E42"/>
      <c r="F42"/>
      <c r="G42"/>
      <c r="H42"/>
      <c r="I42"/>
      <c r="J42" s="182"/>
    </row>
    <row r="43" spans="1:10" ht="15" x14ac:dyDescent="0.25">
      <c r="A43"/>
      <c r="B43"/>
      <c r="C43"/>
      <c r="D43"/>
      <c r="E43"/>
      <c r="F43"/>
      <c r="G43"/>
      <c r="H43"/>
      <c r="I43"/>
      <c r="J43" s="182"/>
    </row>
    <row r="44" spans="1:10" ht="15" x14ac:dyDescent="0.25">
      <c r="A44"/>
      <c r="B44"/>
      <c r="C44"/>
      <c r="D44"/>
      <c r="E44"/>
      <c r="F44"/>
      <c r="G44"/>
      <c r="H44"/>
      <c r="I44"/>
      <c r="J44" s="182"/>
    </row>
    <row r="45" spans="1:10" ht="15" x14ac:dyDescent="0.25">
      <c r="A45"/>
      <c r="B45"/>
      <c r="C45"/>
      <c r="D45"/>
      <c r="E45"/>
      <c r="F45"/>
      <c r="G45"/>
      <c r="H45"/>
      <c r="I45"/>
      <c r="J45" s="182"/>
    </row>
    <row r="46" spans="1:10" ht="15" x14ac:dyDescent="0.25">
      <c r="A46"/>
      <c r="B46"/>
      <c r="C46"/>
      <c r="D46"/>
      <c r="E46"/>
      <c r="F46"/>
      <c r="G46"/>
      <c r="H46"/>
      <c r="I46"/>
      <c r="J46" s="182"/>
    </row>
    <row r="47" spans="1:10" ht="15" x14ac:dyDescent="0.25">
      <c r="A47"/>
      <c r="B47"/>
      <c r="C47"/>
      <c r="D47"/>
      <c r="E47"/>
      <c r="F47"/>
      <c r="G47"/>
      <c r="H47"/>
      <c r="I47"/>
      <c r="J47" s="182"/>
    </row>
    <row r="48" spans="1:10" ht="15" x14ac:dyDescent="0.25">
      <c r="A48"/>
      <c r="B48"/>
      <c r="C48"/>
      <c r="D48"/>
      <c r="E48"/>
      <c r="F48"/>
      <c r="G48"/>
      <c r="H48"/>
      <c r="I48"/>
      <c r="J48" s="182"/>
    </row>
    <row r="49" spans="1:10" ht="15" x14ac:dyDescent="0.25">
      <c r="A49"/>
      <c r="B49"/>
      <c r="C49"/>
      <c r="D49"/>
      <c r="E49"/>
      <c r="F49"/>
      <c r="G49"/>
      <c r="H49"/>
      <c r="I49"/>
      <c r="J49" s="182"/>
    </row>
    <row r="50" spans="1:10" ht="15" x14ac:dyDescent="0.25">
      <c r="A50"/>
      <c r="B50"/>
      <c r="C50"/>
      <c r="D50"/>
      <c r="E50"/>
      <c r="F50"/>
      <c r="G50"/>
      <c r="H50"/>
      <c r="I50"/>
      <c r="J50" s="182"/>
    </row>
    <row r="51" spans="1:10" ht="15" x14ac:dyDescent="0.25">
      <c r="A51"/>
      <c r="B51"/>
      <c r="C51"/>
      <c r="D51"/>
      <c r="E51"/>
      <c r="F51"/>
      <c r="G51"/>
      <c r="H51"/>
      <c r="I51"/>
      <c r="J51" s="182"/>
    </row>
    <row r="52" spans="1:10" ht="15" x14ac:dyDescent="0.25">
      <c r="A52"/>
      <c r="B52"/>
      <c r="C52"/>
      <c r="D52"/>
      <c r="E52"/>
      <c r="F52"/>
      <c r="G52"/>
      <c r="H52"/>
      <c r="I52"/>
      <c r="J52" s="182"/>
    </row>
    <row r="53" spans="1:10" ht="15" x14ac:dyDescent="0.25">
      <c r="A53"/>
      <c r="B53"/>
      <c r="C53"/>
      <c r="D53"/>
      <c r="E53"/>
      <c r="F53"/>
      <c r="G53"/>
      <c r="H53"/>
      <c r="I53"/>
      <c r="J53" s="182"/>
    </row>
    <row r="54" spans="1:10" ht="15" x14ac:dyDescent="0.25">
      <c r="A54"/>
      <c r="B54"/>
      <c r="C54"/>
      <c r="D54"/>
      <c r="E54"/>
      <c r="F54"/>
      <c r="G54"/>
      <c r="H54"/>
      <c r="I54"/>
      <c r="J54" s="182"/>
    </row>
    <row r="55" spans="1:10" ht="15" x14ac:dyDescent="0.25">
      <c r="A55"/>
      <c r="B55"/>
      <c r="C55"/>
      <c r="D55"/>
      <c r="E55"/>
      <c r="F55"/>
      <c r="G55"/>
      <c r="H55"/>
      <c r="I55"/>
      <c r="J55" s="182"/>
    </row>
    <row r="56" spans="1:10" ht="15" x14ac:dyDescent="0.25">
      <c r="A56"/>
      <c r="B56"/>
      <c r="C56"/>
      <c r="D56"/>
      <c r="E56"/>
      <c r="F56"/>
      <c r="G56"/>
      <c r="H56"/>
      <c r="I56"/>
      <c r="J56" s="182"/>
    </row>
    <row r="57" spans="1:10" ht="15" x14ac:dyDescent="0.25">
      <c r="A57"/>
      <c r="B57"/>
      <c r="C57"/>
      <c r="D57"/>
      <c r="E57"/>
      <c r="F57"/>
      <c r="G57"/>
      <c r="H57"/>
      <c r="I57"/>
      <c r="J57" s="182"/>
    </row>
    <row r="58" spans="1:10" ht="15" x14ac:dyDescent="0.25">
      <c r="A58"/>
      <c r="B58"/>
      <c r="C58"/>
      <c r="D58"/>
      <c r="E58"/>
      <c r="F58"/>
      <c r="G58"/>
      <c r="H58"/>
      <c r="I58"/>
      <c r="J58" s="182"/>
    </row>
    <row r="59" spans="1:10" ht="15" x14ac:dyDescent="0.25">
      <c r="A59"/>
      <c r="B59"/>
      <c r="C59"/>
      <c r="D59"/>
      <c r="E59"/>
      <c r="F59"/>
      <c r="G59"/>
      <c r="H59"/>
      <c r="I59"/>
      <c r="J59" s="182"/>
    </row>
    <row r="60" spans="1:10" ht="15" x14ac:dyDescent="0.25">
      <c r="A60"/>
      <c r="B60"/>
      <c r="C60"/>
      <c r="D60"/>
      <c r="E60"/>
      <c r="F60"/>
      <c r="G60"/>
      <c r="H60"/>
      <c r="I60"/>
      <c r="J60" s="182"/>
    </row>
    <row r="61" spans="1:10" ht="15" x14ac:dyDescent="0.25">
      <c r="A61"/>
      <c r="B61"/>
      <c r="C61"/>
      <c r="D61"/>
      <c r="E61"/>
      <c r="F61"/>
      <c r="G61"/>
      <c r="H61"/>
      <c r="I61"/>
      <c r="J61" s="182"/>
    </row>
    <row r="62" spans="1:10" ht="15" x14ac:dyDescent="0.25">
      <c r="A62"/>
      <c r="B62"/>
      <c r="C62"/>
      <c r="D62"/>
      <c r="E62"/>
      <c r="F62"/>
      <c r="G62"/>
      <c r="H62"/>
      <c r="I62"/>
      <c r="J62" s="182"/>
    </row>
    <row r="63" spans="1:10" ht="15" x14ac:dyDescent="0.25">
      <c r="A63"/>
      <c r="B63"/>
      <c r="C63"/>
      <c r="D63"/>
      <c r="E63"/>
      <c r="F63"/>
      <c r="G63"/>
      <c r="H63"/>
      <c r="I63"/>
      <c r="J63" s="182"/>
    </row>
    <row r="64" spans="1:10" ht="15" x14ac:dyDescent="0.25">
      <c r="A64"/>
      <c r="B64"/>
      <c r="C64"/>
      <c r="D64"/>
      <c r="E64"/>
      <c r="F64"/>
      <c r="G64"/>
      <c r="H64"/>
      <c r="I64"/>
      <c r="J64" s="182"/>
    </row>
    <row r="65" spans="1:10" ht="15" x14ac:dyDescent="0.25">
      <c r="A65"/>
      <c r="B65"/>
      <c r="C65"/>
      <c r="D65"/>
      <c r="E65"/>
      <c r="F65"/>
      <c r="G65"/>
      <c r="H65"/>
      <c r="I65"/>
      <c r="J65" s="182"/>
    </row>
    <row r="66" spans="1:10" ht="15" x14ac:dyDescent="0.25">
      <c r="A66"/>
      <c r="B66"/>
      <c r="C66"/>
      <c r="D66"/>
      <c r="E66"/>
      <c r="F66"/>
      <c r="G66"/>
      <c r="H66"/>
      <c r="I66"/>
      <c r="J66" s="182"/>
    </row>
    <row r="67" spans="1:10" ht="15" x14ac:dyDescent="0.25">
      <c r="A67"/>
      <c r="B67"/>
      <c r="C67"/>
      <c r="D67"/>
      <c r="E67"/>
      <c r="F67"/>
      <c r="G67"/>
      <c r="H67"/>
      <c r="I67"/>
      <c r="J67" s="182"/>
    </row>
    <row r="68" spans="1:10" ht="15" x14ac:dyDescent="0.25">
      <c r="A68"/>
      <c r="B68"/>
      <c r="C68"/>
      <c r="D68"/>
      <c r="E68"/>
      <c r="F68"/>
      <c r="G68"/>
      <c r="H68"/>
      <c r="I68"/>
      <c r="J68" s="182"/>
    </row>
    <row r="69" spans="1:10" ht="15" x14ac:dyDescent="0.25">
      <c r="A69"/>
      <c r="B69"/>
      <c r="C69"/>
      <c r="D69"/>
      <c r="E69"/>
      <c r="F69"/>
      <c r="G69"/>
      <c r="H69"/>
      <c r="I69"/>
      <c r="J69" s="182"/>
    </row>
    <row r="70" spans="1:10" ht="15" x14ac:dyDescent="0.25">
      <c r="A70"/>
      <c r="B70"/>
      <c r="C70"/>
      <c r="D70"/>
      <c r="E70"/>
      <c r="F70"/>
      <c r="G70"/>
      <c r="H70"/>
      <c r="I70"/>
      <c r="J70" s="182"/>
    </row>
    <row r="71" spans="1:10" ht="15" x14ac:dyDescent="0.25">
      <c r="A71"/>
      <c r="B71"/>
      <c r="C71"/>
      <c r="D71"/>
      <c r="E71"/>
      <c r="F71"/>
      <c r="G71"/>
      <c r="H71"/>
      <c r="I71"/>
      <c r="J71" s="182"/>
    </row>
    <row r="72" spans="1:10" ht="15" x14ac:dyDescent="0.25">
      <c r="A72"/>
      <c r="B72"/>
      <c r="C72"/>
      <c r="D72"/>
      <c r="E72"/>
      <c r="F72"/>
      <c r="G72"/>
      <c r="H72"/>
      <c r="I72"/>
      <c r="J72" s="182"/>
    </row>
    <row r="73" spans="1:10" ht="15" x14ac:dyDescent="0.25">
      <c r="A73"/>
      <c r="B73"/>
      <c r="C73"/>
      <c r="D73"/>
      <c r="E73"/>
      <c r="F73"/>
      <c r="G73"/>
      <c r="H73"/>
      <c r="I73"/>
      <c r="J73" s="182"/>
    </row>
    <row r="74" spans="1:10" ht="15" x14ac:dyDescent="0.25">
      <c r="A74"/>
      <c r="B74"/>
      <c r="C74"/>
      <c r="D74"/>
      <c r="E74"/>
      <c r="F74"/>
      <c r="G74"/>
      <c r="H74"/>
      <c r="I74"/>
      <c r="J74" s="182"/>
    </row>
    <row r="75" spans="1:10" ht="15" x14ac:dyDescent="0.25">
      <c r="A75"/>
      <c r="B75"/>
      <c r="C75"/>
      <c r="D75"/>
      <c r="E75"/>
      <c r="F75"/>
      <c r="G75"/>
      <c r="H75"/>
      <c r="I75"/>
      <c r="J75" s="182"/>
    </row>
    <row r="76" spans="1:10" ht="15" x14ac:dyDescent="0.25">
      <c r="A76"/>
      <c r="B76"/>
      <c r="C76"/>
      <c r="D76"/>
      <c r="E76"/>
      <c r="F76"/>
      <c r="G76"/>
      <c r="H76"/>
      <c r="I76"/>
      <c r="J76" s="182"/>
    </row>
    <row r="77" spans="1:10" ht="15" x14ac:dyDescent="0.25">
      <c r="A77"/>
      <c r="B77"/>
      <c r="C77"/>
      <c r="D77"/>
      <c r="E77"/>
      <c r="F77"/>
      <c r="G77"/>
      <c r="H77"/>
      <c r="I77"/>
      <c r="J77" s="182"/>
    </row>
    <row r="78" spans="1:10" ht="15" x14ac:dyDescent="0.25">
      <c r="A78"/>
      <c r="B78"/>
      <c r="C78"/>
      <c r="D78"/>
      <c r="E78"/>
      <c r="F78"/>
      <c r="G78"/>
      <c r="H78"/>
      <c r="I78"/>
      <c r="J78" s="182"/>
    </row>
    <row r="79" spans="1:10" ht="15" x14ac:dyDescent="0.25">
      <c r="A79"/>
      <c r="B79"/>
      <c r="C79"/>
      <c r="D79"/>
      <c r="E79"/>
      <c r="F79"/>
      <c r="G79"/>
      <c r="H79"/>
      <c r="I79"/>
      <c r="J79" s="182"/>
    </row>
    <row r="80" spans="1:10" ht="15" x14ac:dyDescent="0.25">
      <c r="A80"/>
      <c r="B80"/>
      <c r="C80"/>
      <c r="D80"/>
      <c r="E80"/>
      <c r="F80"/>
      <c r="G80"/>
      <c r="H80"/>
      <c r="I80"/>
      <c r="J80" s="182"/>
    </row>
    <row r="81" spans="1:10" ht="15" x14ac:dyDescent="0.25">
      <c r="A81"/>
      <c r="B81"/>
      <c r="C81"/>
      <c r="D81"/>
      <c r="E81"/>
      <c r="F81"/>
      <c r="G81"/>
      <c r="H81"/>
      <c r="I81"/>
      <c r="J81" s="182"/>
    </row>
    <row r="82" spans="1:10" ht="15" x14ac:dyDescent="0.25">
      <c r="A82"/>
      <c r="B82"/>
      <c r="C82"/>
      <c r="D82"/>
      <c r="E82"/>
      <c r="F82"/>
      <c r="G82"/>
      <c r="H82"/>
      <c r="I82"/>
      <c r="J82" s="182"/>
    </row>
    <row r="83" spans="1:10" ht="15" x14ac:dyDescent="0.25">
      <c r="A83"/>
      <c r="B83"/>
      <c r="C83"/>
      <c r="D83"/>
      <c r="E83"/>
      <c r="F83"/>
      <c r="G83"/>
      <c r="H83"/>
      <c r="I83"/>
      <c r="J83" s="182"/>
    </row>
    <row r="84" spans="1:10" ht="15" x14ac:dyDescent="0.25">
      <c r="A84"/>
      <c r="B84"/>
      <c r="C84"/>
      <c r="D84"/>
      <c r="E84"/>
      <c r="F84"/>
      <c r="G84"/>
      <c r="H84"/>
      <c r="I84"/>
      <c r="J84" s="182"/>
    </row>
    <row r="85" spans="1:10" ht="15" x14ac:dyDescent="0.25">
      <c r="A85"/>
      <c r="B85"/>
      <c r="C85"/>
      <c r="D85"/>
      <c r="E85"/>
      <c r="F85"/>
      <c r="G85"/>
      <c r="H85"/>
      <c r="I85"/>
      <c r="J85" s="182"/>
    </row>
    <row r="86" spans="1:10" ht="15" x14ac:dyDescent="0.25">
      <c r="A86"/>
      <c r="B86"/>
      <c r="C86"/>
      <c r="D86"/>
      <c r="E86"/>
      <c r="F86"/>
      <c r="G86"/>
      <c r="H86"/>
      <c r="I86"/>
      <c r="J86" s="182"/>
    </row>
    <row r="87" spans="1:10" ht="15" x14ac:dyDescent="0.25">
      <c r="A87"/>
      <c r="B87"/>
      <c r="C87"/>
      <c r="D87"/>
      <c r="E87"/>
      <c r="F87"/>
      <c r="G87"/>
      <c r="H87"/>
      <c r="I87"/>
      <c r="J87" s="182"/>
    </row>
    <row r="88" spans="1:10" ht="15" x14ac:dyDescent="0.25">
      <c r="A88"/>
      <c r="B88"/>
      <c r="C88"/>
      <c r="D88"/>
      <c r="E88"/>
      <c r="F88"/>
      <c r="G88"/>
      <c r="H88"/>
      <c r="I88"/>
      <c r="J88" s="182"/>
    </row>
    <row r="89" spans="1:10" ht="15" x14ac:dyDescent="0.25">
      <c r="A89"/>
      <c r="B89"/>
      <c r="C89"/>
      <c r="D89"/>
      <c r="E89"/>
      <c r="F89"/>
      <c r="G89"/>
      <c r="H89"/>
      <c r="I89"/>
      <c r="J89" s="182"/>
    </row>
    <row r="90" spans="1:10" ht="15" x14ac:dyDescent="0.25">
      <c r="A90"/>
      <c r="B90"/>
      <c r="C90"/>
      <c r="D90"/>
      <c r="E90"/>
      <c r="F90"/>
      <c r="G90"/>
      <c r="H90"/>
      <c r="I90"/>
      <c r="J90" s="182"/>
    </row>
    <row r="91" spans="1:10" ht="15" x14ac:dyDescent="0.25">
      <c r="A91"/>
      <c r="B91"/>
      <c r="C91"/>
      <c r="D91"/>
      <c r="E91"/>
      <c r="F91"/>
      <c r="G91"/>
      <c r="H91"/>
      <c r="I91"/>
      <c r="J91" s="182"/>
    </row>
    <row r="92" spans="1:10" ht="15" x14ac:dyDescent="0.25">
      <c r="A92"/>
      <c r="B92"/>
      <c r="C92"/>
      <c r="D92"/>
      <c r="E92"/>
      <c r="F92"/>
      <c r="G92"/>
      <c r="H92"/>
      <c r="I92"/>
      <c r="J92" s="182"/>
    </row>
    <row r="93" spans="1:10" ht="15" x14ac:dyDescent="0.25">
      <c r="A93"/>
      <c r="B93"/>
      <c r="C93"/>
      <c r="D93"/>
      <c r="E93"/>
      <c r="F93"/>
      <c r="G93"/>
      <c r="H93"/>
      <c r="I93"/>
      <c r="J93" s="182"/>
    </row>
    <row r="94" spans="1:10" ht="15" x14ac:dyDescent="0.25">
      <c r="A94"/>
      <c r="B94"/>
      <c r="C94"/>
      <c r="D94"/>
      <c r="E94"/>
      <c r="F94"/>
      <c r="G94"/>
      <c r="H94"/>
      <c r="I94"/>
      <c r="J94" s="182"/>
    </row>
    <row r="95" spans="1:10" ht="15" x14ac:dyDescent="0.25">
      <c r="A95"/>
      <c r="B95"/>
      <c r="C95"/>
      <c r="D95"/>
      <c r="E95"/>
      <c r="F95"/>
      <c r="G95"/>
      <c r="H95"/>
      <c r="I95"/>
      <c r="J95" s="182"/>
    </row>
    <row r="96" spans="1:10" ht="15" x14ac:dyDescent="0.25">
      <c r="A96"/>
      <c r="B96"/>
      <c r="C96"/>
      <c r="D96"/>
      <c r="E96"/>
      <c r="F96"/>
      <c r="G96"/>
      <c r="H96"/>
      <c r="I96"/>
      <c r="J96" s="182"/>
    </row>
    <row r="97" spans="1:10" ht="15" x14ac:dyDescent="0.25">
      <c r="A97"/>
      <c r="B97"/>
      <c r="C97"/>
      <c r="D97"/>
      <c r="E97"/>
      <c r="F97"/>
      <c r="G97"/>
      <c r="H97"/>
      <c r="I97"/>
      <c r="J97" s="182"/>
    </row>
    <row r="98" spans="1:10" ht="15" x14ac:dyDescent="0.25">
      <c r="A98"/>
      <c r="B98"/>
      <c r="C98"/>
      <c r="D98"/>
      <c r="E98"/>
      <c r="F98"/>
      <c r="G98"/>
      <c r="H98"/>
      <c r="I98"/>
      <c r="J98" s="182"/>
    </row>
    <row r="99" spans="1:10" ht="15" x14ac:dyDescent="0.25">
      <c r="A99"/>
      <c r="B99"/>
      <c r="C99"/>
      <c r="D99"/>
      <c r="E99"/>
      <c r="F99"/>
      <c r="G99"/>
      <c r="H99"/>
      <c r="I99"/>
      <c r="J99" s="182"/>
    </row>
    <row r="100" spans="1:10" ht="15" x14ac:dyDescent="0.25">
      <c r="A100"/>
      <c r="B100"/>
      <c r="C100"/>
      <c r="D100"/>
      <c r="E100"/>
      <c r="F100"/>
      <c r="G100"/>
      <c r="H100"/>
      <c r="I100"/>
      <c r="J100" s="182"/>
    </row>
    <row r="101" spans="1:10" ht="15" x14ac:dyDescent="0.25">
      <c r="A101"/>
      <c r="B101"/>
      <c r="C101"/>
      <c r="D101"/>
      <c r="E101"/>
      <c r="F101"/>
      <c r="G101"/>
      <c r="H101"/>
      <c r="I101"/>
      <c r="J101" s="182"/>
    </row>
    <row r="102" spans="1:10" ht="15" x14ac:dyDescent="0.25">
      <c r="A102"/>
      <c r="B102"/>
      <c r="C102"/>
      <c r="D102"/>
      <c r="E102"/>
      <c r="F102"/>
      <c r="G102"/>
      <c r="H102"/>
      <c r="I102"/>
      <c r="J102" s="182"/>
    </row>
    <row r="103" spans="1:10" ht="15" x14ac:dyDescent="0.25">
      <c r="A103"/>
      <c r="B103"/>
      <c r="C103"/>
      <c r="D103"/>
      <c r="E103"/>
      <c r="F103"/>
      <c r="G103"/>
      <c r="H103"/>
      <c r="I103"/>
      <c r="J103" s="182"/>
    </row>
    <row r="104" spans="1:10" ht="15" x14ac:dyDescent="0.25">
      <c r="A104"/>
      <c r="B104"/>
      <c r="C104"/>
      <c r="D104"/>
      <c r="E104"/>
      <c r="F104"/>
      <c r="G104"/>
      <c r="H104"/>
      <c r="I104"/>
      <c r="J104" s="182"/>
    </row>
    <row r="105" spans="1:10" ht="15" x14ac:dyDescent="0.25">
      <c r="A105"/>
      <c r="B105"/>
      <c r="C105"/>
      <c r="D105"/>
      <c r="E105"/>
      <c r="F105"/>
      <c r="G105"/>
      <c r="H105"/>
      <c r="I105"/>
      <c r="J105" s="182"/>
    </row>
    <row r="106" spans="1:10" ht="15" x14ac:dyDescent="0.25">
      <c r="A106"/>
      <c r="B106"/>
      <c r="C106"/>
      <c r="D106"/>
      <c r="E106"/>
      <c r="F106"/>
      <c r="G106"/>
      <c r="H106"/>
      <c r="I106"/>
      <c r="J106" s="182"/>
    </row>
    <row r="107" spans="1:10" ht="15" x14ac:dyDescent="0.25">
      <c r="A107"/>
      <c r="B107"/>
      <c r="C107"/>
      <c r="D107"/>
      <c r="E107"/>
      <c r="F107"/>
      <c r="G107"/>
      <c r="H107"/>
      <c r="I107"/>
      <c r="J107" s="182"/>
    </row>
    <row r="108" spans="1:10" ht="15" x14ac:dyDescent="0.25">
      <c r="A108"/>
      <c r="B108"/>
      <c r="C108"/>
      <c r="D108"/>
      <c r="E108"/>
      <c r="F108"/>
      <c r="G108"/>
      <c r="H108"/>
      <c r="I108"/>
      <c r="J108" s="182"/>
    </row>
    <row r="109" spans="1:10" ht="15" x14ac:dyDescent="0.25">
      <c r="A109"/>
      <c r="B109"/>
      <c r="C109"/>
      <c r="D109"/>
      <c r="E109"/>
      <c r="F109"/>
      <c r="G109"/>
      <c r="H109"/>
      <c r="I109"/>
      <c r="J109" s="182"/>
    </row>
    <row r="110" spans="1:10" ht="15" x14ac:dyDescent="0.25">
      <c r="A110"/>
      <c r="B110"/>
      <c r="C110"/>
      <c r="D110"/>
      <c r="E110"/>
      <c r="F110"/>
      <c r="G110"/>
      <c r="H110"/>
      <c r="I110"/>
      <c r="J110" s="182"/>
    </row>
    <row r="111" spans="1:10" ht="15" x14ac:dyDescent="0.25">
      <c r="A111"/>
      <c r="B111"/>
      <c r="C111"/>
      <c r="D111"/>
      <c r="E111"/>
      <c r="F111"/>
      <c r="G111"/>
      <c r="H111"/>
      <c r="I111"/>
      <c r="J111" s="182"/>
    </row>
    <row r="112" spans="1:10" ht="15" x14ac:dyDescent="0.25">
      <c r="A112"/>
      <c r="B112"/>
      <c r="C112"/>
      <c r="D112"/>
      <c r="E112"/>
      <c r="F112"/>
      <c r="G112"/>
      <c r="H112"/>
      <c r="I112"/>
      <c r="J112" s="182"/>
    </row>
    <row r="113" spans="1:10" ht="15" x14ac:dyDescent="0.25">
      <c r="A113"/>
      <c r="B113"/>
      <c r="C113"/>
      <c r="D113"/>
      <c r="E113"/>
      <c r="F113"/>
      <c r="G113"/>
      <c r="H113"/>
      <c r="I113"/>
      <c r="J113" s="182"/>
    </row>
    <row r="114" spans="1:10" ht="15" x14ac:dyDescent="0.25">
      <c r="A114"/>
      <c r="B114"/>
      <c r="C114"/>
      <c r="D114"/>
      <c r="E114"/>
      <c r="F114"/>
      <c r="G114"/>
      <c r="H114"/>
      <c r="I114"/>
      <c r="J114" s="182"/>
    </row>
    <row r="115" spans="1:10" ht="15" x14ac:dyDescent="0.25">
      <c r="A115"/>
      <c r="B115"/>
      <c r="C115"/>
      <c r="D115"/>
      <c r="E115"/>
      <c r="F115"/>
      <c r="G115"/>
      <c r="H115"/>
      <c r="I115"/>
      <c r="J115" s="182"/>
    </row>
    <row r="116" spans="1:10" ht="15" x14ac:dyDescent="0.25">
      <c r="A116"/>
      <c r="B116"/>
      <c r="C116"/>
      <c r="D116"/>
      <c r="E116"/>
      <c r="F116"/>
      <c r="G116"/>
      <c r="H116"/>
      <c r="I116"/>
      <c r="J116" s="182"/>
    </row>
    <row r="117" spans="1:10" ht="15" x14ac:dyDescent="0.25">
      <c r="A117"/>
      <c r="B117"/>
      <c r="C117"/>
      <c r="D117"/>
      <c r="E117"/>
      <c r="F117"/>
      <c r="G117"/>
      <c r="H117"/>
      <c r="I117"/>
      <c r="J117" s="182"/>
    </row>
    <row r="118" spans="1:10" ht="15" x14ac:dyDescent="0.25">
      <c r="A118"/>
      <c r="B118"/>
      <c r="C118"/>
      <c r="D118"/>
      <c r="E118"/>
      <c r="F118"/>
      <c r="G118"/>
      <c r="H118"/>
      <c r="I118"/>
      <c r="J118" s="182"/>
    </row>
    <row r="119" spans="1:10" ht="15" x14ac:dyDescent="0.25">
      <c r="A119"/>
      <c r="B119"/>
      <c r="C119"/>
      <c r="D119"/>
      <c r="E119"/>
      <c r="F119"/>
      <c r="G119"/>
      <c r="H119"/>
      <c r="I119"/>
      <c r="J119" s="182"/>
    </row>
    <row r="120" spans="1:10" ht="15" x14ac:dyDescent="0.25">
      <c r="A120"/>
      <c r="B120"/>
      <c r="C120"/>
      <c r="D120"/>
      <c r="E120"/>
      <c r="F120"/>
      <c r="G120"/>
      <c r="H120"/>
      <c r="I120"/>
      <c r="J120" s="182"/>
    </row>
    <row r="121" spans="1:10" ht="15" x14ac:dyDescent="0.25">
      <c r="A121"/>
      <c r="B121"/>
      <c r="C121"/>
      <c r="D121"/>
      <c r="E121"/>
      <c r="F121"/>
      <c r="G121"/>
      <c r="H121"/>
      <c r="I121"/>
      <c r="J121" s="182"/>
    </row>
    <row r="122" spans="1:10" ht="15" x14ac:dyDescent="0.25">
      <c r="A122"/>
      <c r="B122"/>
      <c r="C122"/>
      <c r="D122"/>
      <c r="E122"/>
      <c r="F122"/>
      <c r="G122"/>
      <c r="H122"/>
      <c r="I122"/>
      <c r="J122" s="182"/>
    </row>
    <row r="123" spans="1:10" ht="15" x14ac:dyDescent="0.25">
      <c r="A123"/>
      <c r="B123"/>
      <c r="C123"/>
      <c r="D123"/>
      <c r="E123"/>
      <c r="F123"/>
      <c r="G123"/>
      <c r="H123"/>
      <c r="I123"/>
      <c r="J123" s="182"/>
    </row>
    <row r="124" spans="1:10" ht="15" x14ac:dyDescent="0.25">
      <c r="A124"/>
      <c r="B124"/>
      <c r="C124"/>
      <c r="D124"/>
      <c r="E124"/>
      <c r="F124"/>
      <c r="G124"/>
      <c r="H124"/>
      <c r="I124"/>
      <c r="J124" s="182"/>
    </row>
    <row r="125" spans="1:10" ht="15" x14ac:dyDescent="0.25">
      <c r="A125"/>
      <c r="B125"/>
      <c r="C125"/>
      <c r="D125"/>
      <c r="E125"/>
      <c r="F125"/>
      <c r="G125"/>
      <c r="H125"/>
      <c r="I125"/>
      <c r="J125" s="182"/>
    </row>
    <row r="126" spans="1:10" ht="15" x14ac:dyDescent="0.25">
      <c r="A126"/>
      <c r="B126"/>
      <c r="C126"/>
      <c r="D126"/>
      <c r="E126"/>
      <c r="F126"/>
      <c r="G126"/>
      <c r="H126"/>
      <c r="I126"/>
      <c r="J126" s="182"/>
    </row>
    <row r="127" spans="1:10" ht="15" x14ac:dyDescent="0.25">
      <c r="A127"/>
      <c r="B127"/>
      <c r="C127"/>
      <c r="D127"/>
      <c r="E127"/>
      <c r="F127"/>
      <c r="G127"/>
      <c r="H127"/>
      <c r="I127"/>
      <c r="J127" s="182"/>
    </row>
    <row r="128" spans="1:10" ht="15" x14ac:dyDescent="0.25">
      <c r="A128"/>
      <c r="B128"/>
      <c r="C128"/>
      <c r="D128"/>
      <c r="E128"/>
      <c r="F128"/>
      <c r="G128"/>
      <c r="H128"/>
      <c r="I128"/>
      <c r="J128" s="182"/>
    </row>
    <row r="129" spans="1:10" ht="15" x14ac:dyDescent="0.25">
      <c r="A129"/>
      <c r="B129"/>
      <c r="C129"/>
      <c r="D129"/>
      <c r="E129"/>
      <c r="F129"/>
      <c r="G129"/>
      <c r="H129"/>
      <c r="I129"/>
      <c r="J129" s="182"/>
    </row>
    <row r="130" spans="1:10" ht="15" x14ac:dyDescent="0.25">
      <c r="A130"/>
      <c r="B130"/>
      <c r="C130"/>
      <c r="D130"/>
      <c r="E130"/>
      <c r="F130"/>
      <c r="G130"/>
      <c r="H130"/>
      <c r="I130"/>
      <c r="J130" s="182"/>
    </row>
    <row r="131" spans="1:10" ht="15" x14ac:dyDescent="0.25">
      <c r="A131"/>
      <c r="B131"/>
      <c r="C131"/>
      <c r="D131"/>
      <c r="E131"/>
      <c r="F131"/>
      <c r="G131"/>
      <c r="H131"/>
      <c r="I131"/>
      <c r="J131" s="182"/>
    </row>
    <row r="132" spans="1:10" ht="15" x14ac:dyDescent="0.25">
      <c r="A132"/>
      <c r="B132"/>
      <c r="C132"/>
      <c r="D132"/>
      <c r="E132"/>
      <c r="F132"/>
      <c r="G132"/>
      <c r="H132"/>
      <c r="I132"/>
      <c r="J132" s="182"/>
    </row>
    <row r="133" spans="1:10" ht="15" x14ac:dyDescent="0.25">
      <c r="A133"/>
      <c r="B133"/>
      <c r="C133"/>
      <c r="D133"/>
      <c r="E133"/>
      <c r="F133"/>
      <c r="G133"/>
      <c r="H133"/>
      <c r="I133"/>
      <c r="J133" s="182"/>
    </row>
    <row r="134" spans="1:10" ht="15" x14ac:dyDescent="0.25">
      <c r="A134"/>
      <c r="B134"/>
      <c r="C134"/>
      <c r="D134"/>
      <c r="E134"/>
      <c r="F134"/>
      <c r="G134"/>
      <c r="H134"/>
      <c r="I134"/>
      <c r="J134" s="182"/>
    </row>
    <row r="135" spans="1:10" ht="15" x14ac:dyDescent="0.25">
      <c r="A135"/>
      <c r="B135"/>
      <c r="C135"/>
      <c r="D135"/>
      <c r="E135"/>
      <c r="F135"/>
      <c r="G135"/>
      <c r="H135"/>
      <c r="I135"/>
      <c r="J135" s="182"/>
    </row>
    <row r="136" spans="1:10" ht="15" x14ac:dyDescent="0.25">
      <c r="A136"/>
      <c r="B136"/>
      <c r="C136"/>
      <c r="D136"/>
      <c r="E136"/>
      <c r="F136"/>
      <c r="G136"/>
      <c r="H136"/>
      <c r="I136"/>
      <c r="J136" s="182"/>
    </row>
    <row r="137" spans="1:10" ht="15" x14ac:dyDescent="0.25">
      <c r="A137"/>
      <c r="B137"/>
      <c r="C137"/>
      <c r="D137"/>
      <c r="E137"/>
      <c r="F137"/>
      <c r="G137"/>
      <c r="H137"/>
      <c r="I137"/>
      <c r="J137" s="182"/>
    </row>
    <row r="138" spans="1:10" ht="15" x14ac:dyDescent="0.25">
      <c r="A138"/>
      <c r="B138"/>
      <c r="C138"/>
      <c r="D138"/>
      <c r="E138"/>
      <c r="F138"/>
      <c r="G138"/>
      <c r="H138"/>
      <c r="I138"/>
      <c r="J138" s="182"/>
    </row>
    <row r="139" spans="1:10" ht="15" x14ac:dyDescent="0.25">
      <c r="A139"/>
      <c r="B139"/>
      <c r="C139"/>
      <c r="D139"/>
      <c r="E139"/>
      <c r="F139"/>
      <c r="G139"/>
      <c r="H139"/>
      <c r="I139"/>
      <c r="J139" s="182"/>
    </row>
    <row r="140" spans="1:10" ht="15" x14ac:dyDescent="0.25">
      <c r="A140"/>
      <c r="B140"/>
      <c r="C140"/>
      <c r="D140"/>
      <c r="E140"/>
      <c r="F140"/>
      <c r="G140"/>
      <c r="H140"/>
      <c r="J140" s="182"/>
    </row>
    <row r="141" spans="1:10" ht="15" x14ac:dyDescent="0.25">
      <c r="A141"/>
      <c r="B141"/>
      <c r="C141"/>
      <c r="D141"/>
      <c r="E141"/>
      <c r="F141"/>
      <c r="G141"/>
      <c r="H141"/>
    </row>
    <row r="142" spans="1:10" ht="15" x14ac:dyDescent="0.25">
      <c r="A142"/>
      <c r="B142"/>
      <c r="C142"/>
      <c r="D142"/>
      <c r="E142"/>
      <c r="F142"/>
      <c r="G142"/>
      <c r="H142"/>
    </row>
    <row r="143" spans="1:10" ht="15" x14ac:dyDescent="0.25">
      <c r="A143"/>
      <c r="B143"/>
      <c r="C143"/>
      <c r="D143"/>
      <c r="E143"/>
      <c r="F143"/>
      <c r="G143"/>
      <c r="H143"/>
    </row>
    <row r="144" spans="1:10" ht="15" x14ac:dyDescent="0.25">
      <c r="A144"/>
      <c r="B144"/>
      <c r="C144"/>
      <c r="D144"/>
      <c r="E144"/>
      <c r="F144"/>
      <c r="G144"/>
      <c r="H144"/>
    </row>
    <row r="145" spans="1:10" ht="15" x14ac:dyDescent="0.25">
      <c r="A145"/>
      <c r="B145"/>
      <c r="C145"/>
      <c r="D145"/>
      <c r="E145"/>
      <c r="F145"/>
      <c r="G145"/>
      <c r="H145"/>
    </row>
    <row r="146" spans="1:10" ht="15" x14ac:dyDescent="0.25">
      <c r="A146"/>
      <c r="B146"/>
      <c r="C146"/>
      <c r="D146"/>
      <c r="E146"/>
      <c r="F146"/>
      <c r="G146"/>
      <c r="H146"/>
    </row>
    <row r="147" spans="1:10" ht="15" x14ac:dyDescent="0.25">
      <c r="A147"/>
      <c r="B147"/>
      <c r="C147"/>
      <c r="D147"/>
      <c r="E147"/>
      <c r="F147"/>
      <c r="G147"/>
      <c r="H147"/>
      <c r="J147"/>
    </row>
    <row r="148" spans="1:10" ht="15" x14ac:dyDescent="0.25">
      <c r="A148"/>
      <c r="B148"/>
      <c r="C148"/>
      <c r="D148"/>
      <c r="E148"/>
      <c r="F148"/>
      <c r="G148"/>
      <c r="H148"/>
    </row>
    <row r="149" spans="1:10" ht="15" x14ac:dyDescent="0.25">
      <c r="A149"/>
      <c r="B149"/>
      <c r="C149"/>
      <c r="D149"/>
      <c r="E149"/>
      <c r="F149"/>
      <c r="G149"/>
      <c r="H149"/>
    </row>
    <row r="150" spans="1:10" ht="15" x14ac:dyDescent="0.25">
      <c r="A150"/>
      <c r="B150"/>
      <c r="C150"/>
      <c r="D150"/>
      <c r="E150"/>
      <c r="F150"/>
      <c r="G150"/>
      <c r="H150"/>
    </row>
    <row r="151" spans="1:10" ht="15" x14ac:dyDescent="0.25">
      <c r="A151"/>
      <c r="B151"/>
      <c r="C151"/>
      <c r="D151"/>
      <c r="E151"/>
      <c r="F151"/>
      <c r="G151"/>
      <c r="H151"/>
    </row>
    <row r="152" spans="1:10" ht="15" x14ac:dyDescent="0.25">
      <c r="A152"/>
      <c r="B152"/>
      <c r="C152"/>
      <c r="D152"/>
      <c r="E152"/>
      <c r="F152"/>
      <c r="G152"/>
      <c r="H152"/>
    </row>
    <row r="153" spans="1:10" ht="15" x14ac:dyDescent="0.25">
      <c r="A153"/>
      <c r="B153"/>
      <c r="C153"/>
      <c r="D153"/>
      <c r="E153"/>
      <c r="F153"/>
      <c r="G153"/>
      <c r="H153"/>
    </row>
    <row r="154" spans="1:10" ht="15" x14ac:dyDescent="0.25">
      <c r="A154"/>
      <c r="B154"/>
      <c r="C154"/>
      <c r="D154"/>
      <c r="E154"/>
      <c r="F154"/>
      <c r="G154"/>
      <c r="H154"/>
    </row>
    <row r="155" spans="1:10" ht="15" x14ac:dyDescent="0.25">
      <c r="A155"/>
      <c r="B155"/>
      <c r="C155"/>
      <c r="D155"/>
      <c r="E155"/>
      <c r="F155"/>
      <c r="G155"/>
      <c r="H155"/>
    </row>
    <row r="156" spans="1:10" ht="15" x14ac:dyDescent="0.25">
      <c r="A156"/>
      <c r="B156"/>
      <c r="C156"/>
      <c r="D156"/>
      <c r="E156"/>
      <c r="F156"/>
      <c r="G156"/>
      <c r="H156"/>
    </row>
    <row r="157" spans="1:10" ht="15" x14ac:dyDescent="0.25">
      <c r="A157"/>
      <c r="B157"/>
      <c r="C157"/>
      <c r="D157"/>
      <c r="E157"/>
      <c r="F157"/>
      <c r="G157"/>
      <c r="H157"/>
    </row>
    <row r="158" spans="1:10" ht="15" x14ac:dyDescent="0.25">
      <c r="A158"/>
      <c r="B158"/>
      <c r="C158"/>
      <c r="D158"/>
      <c r="E158"/>
      <c r="F158"/>
      <c r="G158"/>
      <c r="H158"/>
    </row>
    <row r="159" spans="1:10" ht="15" x14ac:dyDescent="0.25">
      <c r="A159"/>
      <c r="B159"/>
      <c r="C159"/>
      <c r="D159"/>
      <c r="E159"/>
      <c r="F159"/>
      <c r="G159"/>
      <c r="H159"/>
    </row>
    <row r="160" spans="1:10" ht="15" x14ac:dyDescent="0.25">
      <c r="A160"/>
      <c r="B160"/>
      <c r="C160"/>
      <c r="D160"/>
      <c r="E160"/>
      <c r="F160"/>
      <c r="G160"/>
      <c r="H160"/>
    </row>
    <row r="161" spans="1:8" ht="15" x14ac:dyDescent="0.25">
      <c r="A161"/>
      <c r="B161"/>
      <c r="C161"/>
      <c r="D161"/>
      <c r="E161"/>
      <c r="F161"/>
      <c r="G161"/>
      <c r="H161"/>
    </row>
    <row r="162" spans="1:8" ht="15" x14ac:dyDescent="0.25">
      <c r="A162"/>
      <c r="B162"/>
      <c r="C162"/>
      <c r="D162"/>
      <c r="E162"/>
      <c r="F162"/>
      <c r="G162"/>
      <c r="H162"/>
    </row>
    <row r="163" spans="1:8" ht="15" x14ac:dyDescent="0.25">
      <c r="A163"/>
      <c r="B163"/>
      <c r="C163"/>
      <c r="D163"/>
      <c r="E163"/>
      <c r="F163"/>
      <c r="G163"/>
      <c r="H163"/>
    </row>
    <row r="164" spans="1:8" ht="15" x14ac:dyDescent="0.25">
      <c r="A164"/>
      <c r="B164"/>
      <c r="C164"/>
      <c r="D164"/>
      <c r="E164"/>
      <c r="F164"/>
      <c r="G164"/>
      <c r="H164"/>
    </row>
    <row r="165" spans="1:8" ht="15" x14ac:dyDescent="0.25">
      <c r="A165"/>
      <c r="B165"/>
      <c r="C165"/>
      <c r="D165"/>
      <c r="E165"/>
      <c r="F165"/>
      <c r="G165"/>
      <c r="H165"/>
    </row>
    <row r="166" spans="1:8" ht="15" x14ac:dyDescent="0.25">
      <c r="A166"/>
      <c r="B166"/>
      <c r="C166"/>
      <c r="D166"/>
      <c r="E166"/>
      <c r="F166"/>
      <c r="G166"/>
      <c r="H166"/>
    </row>
    <row r="167" spans="1:8" ht="15" x14ac:dyDescent="0.25">
      <c r="A167"/>
      <c r="B167"/>
      <c r="C167"/>
      <c r="D167"/>
      <c r="E167"/>
      <c r="F167"/>
      <c r="G167"/>
      <c r="H167"/>
    </row>
    <row r="168" spans="1:8" ht="15" x14ac:dyDescent="0.25">
      <c r="A168"/>
      <c r="B168"/>
      <c r="C168"/>
      <c r="D168"/>
      <c r="E168"/>
      <c r="F168"/>
      <c r="G168"/>
      <c r="H168"/>
    </row>
    <row r="169" spans="1:8" ht="15" x14ac:dyDescent="0.25">
      <c r="A169"/>
      <c r="B169"/>
      <c r="C169"/>
      <c r="D169"/>
      <c r="E169"/>
      <c r="F169"/>
      <c r="G169"/>
      <c r="H169"/>
    </row>
    <row r="170" spans="1:8" ht="15" x14ac:dyDescent="0.25">
      <c r="A170"/>
      <c r="B170"/>
      <c r="C170"/>
      <c r="D170"/>
      <c r="E170"/>
      <c r="F170"/>
      <c r="G170"/>
      <c r="H170"/>
    </row>
    <row r="171" spans="1:8" ht="15" x14ac:dyDescent="0.25">
      <c r="A171"/>
      <c r="B171"/>
      <c r="C171"/>
      <c r="D171"/>
      <c r="E171"/>
      <c r="F171"/>
      <c r="G171"/>
      <c r="H171"/>
    </row>
    <row r="172" spans="1:8" ht="15" x14ac:dyDescent="0.25">
      <c r="A172"/>
      <c r="B172"/>
      <c r="C172"/>
      <c r="D172"/>
      <c r="E172"/>
      <c r="F172"/>
      <c r="G172"/>
      <c r="H172"/>
    </row>
    <row r="173" spans="1:8" ht="15" x14ac:dyDescent="0.25">
      <c r="A173"/>
      <c r="B173"/>
      <c r="C173"/>
      <c r="D173"/>
      <c r="E173"/>
      <c r="F173"/>
      <c r="G173"/>
      <c r="H173"/>
    </row>
    <row r="174" spans="1:8" ht="15" x14ac:dyDescent="0.25">
      <c r="A174"/>
      <c r="B174"/>
      <c r="C174"/>
      <c r="D174"/>
      <c r="E174"/>
      <c r="F174"/>
      <c r="G174"/>
      <c r="H174"/>
    </row>
    <row r="175" spans="1:8" ht="15" x14ac:dyDescent="0.25">
      <c r="A175"/>
      <c r="B175"/>
      <c r="C175"/>
      <c r="D175"/>
      <c r="E175"/>
      <c r="F175"/>
      <c r="G175"/>
      <c r="H175"/>
    </row>
    <row r="176" spans="1:8" ht="15" x14ac:dyDescent="0.25">
      <c r="A176"/>
      <c r="B176"/>
      <c r="C176"/>
      <c r="D176"/>
      <c r="E176"/>
      <c r="F176"/>
      <c r="G176"/>
      <c r="H176"/>
    </row>
    <row r="177" spans="1:8" ht="15" x14ac:dyDescent="0.25">
      <c r="A177"/>
      <c r="B177"/>
      <c r="C177"/>
      <c r="D177"/>
      <c r="E177"/>
      <c r="F177"/>
      <c r="G177"/>
      <c r="H177"/>
    </row>
    <row r="178" spans="1:8" ht="15" x14ac:dyDescent="0.25">
      <c r="A178"/>
      <c r="B178"/>
      <c r="C178"/>
      <c r="D178"/>
      <c r="E178"/>
      <c r="F178"/>
      <c r="G178"/>
      <c r="H178"/>
    </row>
    <row r="179" spans="1:8" ht="15" x14ac:dyDescent="0.25">
      <c r="A179"/>
      <c r="B179"/>
      <c r="C179"/>
      <c r="D179"/>
      <c r="E179"/>
      <c r="F179"/>
      <c r="G179"/>
      <c r="H179"/>
    </row>
    <row r="180" spans="1:8" ht="15" x14ac:dyDescent="0.25">
      <c r="A180"/>
      <c r="B180"/>
      <c r="C180"/>
      <c r="D180"/>
      <c r="E180"/>
      <c r="F180"/>
      <c r="G180"/>
      <c r="H180"/>
    </row>
    <row r="181" spans="1:8" ht="15" x14ac:dyDescent="0.25">
      <c r="A181"/>
      <c r="B181"/>
      <c r="C181"/>
      <c r="D181"/>
      <c r="E181"/>
      <c r="F181"/>
      <c r="G181"/>
      <c r="H181"/>
    </row>
    <row r="182" spans="1:8" ht="15" x14ac:dyDescent="0.25">
      <c r="A182"/>
      <c r="B182"/>
      <c r="C182"/>
      <c r="D182"/>
      <c r="E182"/>
      <c r="F182"/>
      <c r="G182"/>
      <c r="H182"/>
    </row>
    <row r="183" spans="1:8" ht="15" x14ac:dyDescent="0.25">
      <c r="A183"/>
      <c r="B183"/>
      <c r="C183"/>
      <c r="D183"/>
      <c r="E183"/>
      <c r="F183"/>
      <c r="G183"/>
      <c r="H183"/>
    </row>
    <row r="184" spans="1:8" ht="15" x14ac:dyDescent="0.25">
      <c r="A184"/>
      <c r="B184"/>
      <c r="C184"/>
      <c r="D184"/>
      <c r="E184"/>
      <c r="F184"/>
      <c r="G184"/>
      <c r="H184"/>
    </row>
    <row r="185" spans="1:8" ht="15" x14ac:dyDescent="0.25">
      <c r="A185"/>
      <c r="B185"/>
      <c r="C185"/>
      <c r="D185"/>
      <c r="E185"/>
      <c r="F185"/>
      <c r="G185"/>
      <c r="H185"/>
    </row>
    <row r="186" spans="1:8" ht="15" x14ac:dyDescent="0.25">
      <c r="A186"/>
      <c r="B186"/>
      <c r="C186"/>
      <c r="D186"/>
      <c r="E186"/>
      <c r="F186"/>
      <c r="G186"/>
      <c r="H186"/>
    </row>
    <row r="187" spans="1:8" ht="15" x14ac:dyDescent="0.25">
      <c r="A187"/>
      <c r="B187"/>
      <c r="C187"/>
      <c r="D187"/>
      <c r="E187"/>
      <c r="F187"/>
      <c r="G187"/>
      <c r="H187"/>
    </row>
    <row r="188" spans="1:8" ht="15" x14ac:dyDescent="0.25">
      <c r="A188"/>
      <c r="B188"/>
      <c r="C188"/>
      <c r="D188"/>
      <c r="E188"/>
      <c r="F188"/>
      <c r="G188"/>
      <c r="H188"/>
    </row>
    <row r="189" spans="1:8" ht="15" x14ac:dyDescent="0.25">
      <c r="A189"/>
      <c r="B189"/>
      <c r="C189"/>
      <c r="D189"/>
      <c r="E189"/>
      <c r="F189"/>
      <c r="G189"/>
      <c r="H189"/>
    </row>
    <row r="190" spans="1:8" ht="15" x14ac:dyDescent="0.25">
      <c r="A190"/>
      <c r="B190"/>
      <c r="C190"/>
      <c r="D190"/>
      <c r="E190"/>
      <c r="F190"/>
      <c r="G190"/>
      <c r="H190"/>
    </row>
    <row r="191" spans="1:8" ht="15" x14ac:dyDescent="0.25">
      <c r="A191"/>
      <c r="B191"/>
      <c r="C191"/>
      <c r="D191"/>
      <c r="E191"/>
      <c r="F191"/>
      <c r="G191"/>
      <c r="H191"/>
    </row>
    <row r="192" spans="1:8" ht="15" x14ac:dyDescent="0.25">
      <c r="A192"/>
      <c r="B192"/>
      <c r="C192"/>
      <c r="D192"/>
      <c r="E192"/>
      <c r="F192"/>
      <c r="G192"/>
      <c r="H192"/>
    </row>
    <row r="193" spans="1:8" ht="15" x14ac:dyDescent="0.25">
      <c r="A193"/>
      <c r="B193"/>
      <c r="C193"/>
      <c r="D193"/>
      <c r="E193"/>
      <c r="F193"/>
      <c r="G193"/>
      <c r="H193"/>
    </row>
    <row r="194" spans="1:8" ht="15" x14ac:dyDescent="0.25">
      <c r="A194"/>
      <c r="B194"/>
      <c r="C194"/>
      <c r="D194"/>
      <c r="E194"/>
      <c r="F194"/>
      <c r="G194"/>
      <c r="H194"/>
    </row>
    <row r="195" spans="1:8" ht="15" x14ac:dyDescent="0.25">
      <c r="A195"/>
      <c r="B195"/>
      <c r="C195"/>
      <c r="D195"/>
      <c r="E195"/>
      <c r="F195"/>
      <c r="G195"/>
      <c r="H195"/>
    </row>
    <row r="196" spans="1:8" ht="15" x14ac:dyDescent="0.25">
      <c r="A196"/>
      <c r="B196"/>
      <c r="C196"/>
      <c r="D196"/>
      <c r="E196"/>
      <c r="F196"/>
      <c r="G196"/>
      <c r="H196"/>
    </row>
    <row r="197" spans="1:8" ht="15" x14ac:dyDescent="0.25">
      <c r="A197"/>
      <c r="B197"/>
      <c r="C197"/>
      <c r="D197"/>
      <c r="E197"/>
      <c r="F197"/>
      <c r="G197"/>
      <c r="H197"/>
    </row>
    <row r="198" spans="1:8" ht="15" x14ac:dyDescent="0.25">
      <c r="A198"/>
      <c r="B198"/>
      <c r="C198"/>
      <c r="D198"/>
      <c r="E198"/>
      <c r="F198"/>
      <c r="G198"/>
      <c r="H198"/>
    </row>
    <row r="199" spans="1:8" ht="15" x14ac:dyDescent="0.25">
      <c r="A199"/>
      <c r="B199"/>
      <c r="C199"/>
      <c r="D199"/>
      <c r="E199"/>
      <c r="F199"/>
      <c r="G199"/>
      <c r="H199"/>
    </row>
    <row r="200" spans="1:8" ht="15" x14ac:dyDescent="0.25">
      <c r="A200"/>
      <c r="B200"/>
      <c r="C200"/>
      <c r="D200"/>
      <c r="E200"/>
      <c r="F200"/>
      <c r="G200"/>
      <c r="H200"/>
    </row>
    <row r="201" spans="1:8" ht="15" x14ac:dyDescent="0.25">
      <c r="A201"/>
      <c r="B201"/>
      <c r="C201"/>
      <c r="D201"/>
      <c r="E201"/>
      <c r="F201"/>
      <c r="G201"/>
    </row>
    <row r="202" spans="1:8" ht="15" x14ac:dyDescent="0.25">
      <c r="A202"/>
      <c r="B202"/>
      <c r="C202"/>
      <c r="D202"/>
      <c r="E202"/>
      <c r="F202"/>
      <c r="G202"/>
    </row>
    <row r="203" spans="1:8" ht="15" x14ac:dyDescent="0.25">
      <c r="A203"/>
      <c r="B203"/>
      <c r="C203"/>
      <c r="D203"/>
      <c r="E203"/>
      <c r="F203"/>
      <c r="G203"/>
    </row>
    <row r="204" spans="1:8" ht="15" x14ac:dyDescent="0.25">
      <c r="A204"/>
      <c r="B204"/>
      <c r="C204"/>
      <c r="D204"/>
      <c r="E204"/>
      <c r="F204"/>
      <c r="G204"/>
    </row>
    <row r="205" spans="1:8" ht="15" x14ac:dyDescent="0.25">
      <c r="A205"/>
      <c r="B205"/>
      <c r="C205"/>
      <c r="D205"/>
      <c r="E205"/>
      <c r="F205"/>
      <c r="G205"/>
    </row>
    <row r="206" spans="1:8" ht="15" x14ac:dyDescent="0.25">
      <c r="A206"/>
      <c r="B206"/>
      <c r="C206"/>
      <c r="D206"/>
      <c r="E206"/>
      <c r="F206"/>
      <c r="G206"/>
    </row>
    <row r="207" spans="1:8" ht="15" x14ac:dyDescent="0.25">
      <c r="A207"/>
      <c r="B207"/>
      <c r="C207"/>
      <c r="D207"/>
      <c r="E207"/>
      <c r="F207"/>
      <c r="G207"/>
    </row>
    <row r="208" spans="1:8" ht="15" x14ac:dyDescent="0.25">
      <c r="A208"/>
      <c r="B208"/>
      <c r="C208"/>
      <c r="D208"/>
      <c r="E208"/>
      <c r="F208"/>
      <c r="G208"/>
    </row>
    <row r="209" spans="1:7" ht="15" x14ac:dyDescent="0.25">
      <c r="A209"/>
      <c r="B209"/>
      <c r="C209"/>
      <c r="D209"/>
      <c r="E209"/>
      <c r="F209"/>
      <c r="G209"/>
    </row>
    <row r="210" spans="1:7" ht="15" x14ac:dyDescent="0.25">
      <c r="A210"/>
      <c r="B210"/>
      <c r="C210"/>
      <c r="D210"/>
      <c r="E210"/>
      <c r="F210"/>
      <c r="G210"/>
    </row>
    <row r="211" spans="1:7" ht="15" x14ac:dyDescent="0.25">
      <c r="A211"/>
      <c r="B211"/>
      <c r="C211"/>
      <c r="D211"/>
      <c r="E211"/>
      <c r="F211"/>
      <c r="G211"/>
    </row>
    <row r="212" spans="1:7" ht="15" x14ac:dyDescent="0.25">
      <c r="A212"/>
      <c r="B212"/>
      <c r="C212"/>
      <c r="D212"/>
      <c r="E212"/>
      <c r="F212"/>
      <c r="G212"/>
    </row>
    <row r="213" spans="1:7" ht="15" x14ac:dyDescent="0.25">
      <c r="A213"/>
      <c r="B213"/>
      <c r="C213"/>
      <c r="D213"/>
      <c r="E213"/>
      <c r="F213"/>
      <c r="G213"/>
    </row>
    <row r="214" spans="1:7" ht="15" x14ac:dyDescent="0.25">
      <c r="A214"/>
      <c r="B214"/>
      <c r="C214"/>
      <c r="D214"/>
      <c r="E214"/>
      <c r="F214"/>
      <c r="G214"/>
    </row>
    <row r="215" spans="1:7" ht="15" x14ac:dyDescent="0.25">
      <c r="A215"/>
      <c r="B215"/>
      <c r="C215"/>
      <c r="D215"/>
      <c r="E215"/>
      <c r="F215"/>
      <c r="G215"/>
    </row>
    <row r="216" spans="1:7" ht="15" x14ac:dyDescent="0.25">
      <c r="A216"/>
      <c r="B216"/>
      <c r="C216"/>
      <c r="D216"/>
      <c r="E216"/>
      <c r="F216"/>
      <c r="G216"/>
    </row>
    <row r="217" spans="1:7" ht="15" x14ac:dyDescent="0.25">
      <c r="A217"/>
      <c r="B217"/>
      <c r="C217"/>
      <c r="D217"/>
      <c r="E217"/>
      <c r="F217"/>
      <c r="G217"/>
    </row>
    <row r="218" spans="1:7" ht="15" x14ac:dyDescent="0.25">
      <c r="A218"/>
      <c r="B218"/>
      <c r="C218"/>
      <c r="D218"/>
      <c r="E218"/>
      <c r="F218"/>
      <c r="G218"/>
    </row>
    <row r="219" spans="1:7" ht="15" x14ac:dyDescent="0.25">
      <c r="A219"/>
      <c r="B219"/>
      <c r="C219"/>
      <c r="D219"/>
      <c r="E219"/>
      <c r="F219"/>
      <c r="G219"/>
    </row>
    <row r="220" spans="1:7" ht="15" x14ac:dyDescent="0.25">
      <c r="A220"/>
      <c r="B220"/>
      <c r="C220"/>
      <c r="D220"/>
      <c r="E220"/>
      <c r="F220"/>
      <c r="G220"/>
    </row>
    <row r="221" spans="1:7" ht="15" x14ac:dyDescent="0.25">
      <c r="A221"/>
      <c r="B221"/>
      <c r="C221"/>
      <c r="D221"/>
      <c r="E221"/>
      <c r="F221"/>
      <c r="G221"/>
    </row>
    <row r="222" spans="1:7" ht="15" x14ac:dyDescent="0.25">
      <c r="A222"/>
      <c r="B222"/>
      <c r="C222"/>
      <c r="D222"/>
      <c r="E222"/>
      <c r="F222"/>
      <c r="G222"/>
    </row>
    <row r="223" spans="1:7" ht="15" x14ac:dyDescent="0.25">
      <c r="A223"/>
      <c r="B223"/>
      <c r="C223"/>
      <c r="D223"/>
      <c r="E223"/>
      <c r="F223"/>
      <c r="G223"/>
    </row>
    <row r="224" spans="1:7" ht="15" x14ac:dyDescent="0.25">
      <c r="A224"/>
      <c r="B224"/>
      <c r="C224"/>
      <c r="D224"/>
      <c r="E224"/>
      <c r="F224"/>
      <c r="G224"/>
    </row>
    <row r="225" spans="1:7" ht="15" x14ac:dyDescent="0.25">
      <c r="A225"/>
      <c r="B225"/>
      <c r="C225"/>
      <c r="D225"/>
      <c r="E225"/>
      <c r="F225"/>
      <c r="G225"/>
    </row>
    <row r="226" spans="1:7" ht="15" x14ac:dyDescent="0.25">
      <c r="A226"/>
      <c r="B226"/>
      <c r="C226"/>
      <c r="D226"/>
      <c r="E226"/>
      <c r="F226"/>
      <c r="G226"/>
    </row>
    <row r="227" spans="1:7" ht="15" x14ac:dyDescent="0.25">
      <c r="A227"/>
      <c r="B227"/>
      <c r="C227"/>
      <c r="D227"/>
      <c r="E227"/>
      <c r="F227"/>
      <c r="G227"/>
    </row>
    <row r="228" spans="1:7" ht="15" x14ac:dyDescent="0.25">
      <c r="A228"/>
      <c r="B228"/>
      <c r="C228"/>
      <c r="D228"/>
      <c r="E228"/>
      <c r="F228"/>
      <c r="G228"/>
    </row>
    <row r="229" spans="1:7" ht="15" x14ac:dyDescent="0.25">
      <c r="A229"/>
      <c r="B229"/>
      <c r="C229"/>
      <c r="D229"/>
      <c r="E229"/>
      <c r="F229"/>
      <c r="G229"/>
    </row>
    <row r="230" spans="1:7" ht="15" x14ac:dyDescent="0.25">
      <c r="A230"/>
      <c r="B230"/>
      <c r="C230"/>
      <c r="D230"/>
      <c r="E230"/>
      <c r="F230"/>
      <c r="G230"/>
    </row>
    <row r="231" spans="1:7" ht="15" x14ac:dyDescent="0.25">
      <c r="A231"/>
      <c r="B231"/>
      <c r="C231"/>
      <c r="D231"/>
      <c r="E231"/>
      <c r="F231"/>
      <c r="G231"/>
    </row>
    <row r="232" spans="1:7" ht="15" x14ac:dyDescent="0.25">
      <c r="A232"/>
      <c r="B232"/>
      <c r="C232"/>
      <c r="D232"/>
      <c r="E232"/>
      <c r="F232"/>
      <c r="G232"/>
    </row>
    <row r="233" spans="1:7" ht="15" x14ac:dyDescent="0.25">
      <c r="A233"/>
      <c r="B233"/>
      <c r="C233"/>
      <c r="D233"/>
      <c r="E233"/>
      <c r="F233"/>
      <c r="G233"/>
    </row>
    <row r="234" spans="1:7" ht="15" x14ac:dyDescent="0.25">
      <c r="A234"/>
      <c r="B234"/>
      <c r="C234"/>
      <c r="D234"/>
      <c r="E234"/>
      <c r="F234"/>
      <c r="G234"/>
    </row>
    <row r="235" spans="1:7" ht="15" x14ac:dyDescent="0.25">
      <c r="A235"/>
      <c r="B235"/>
      <c r="C235"/>
      <c r="D235"/>
      <c r="E235"/>
      <c r="F235"/>
      <c r="G235"/>
    </row>
    <row r="236" spans="1:7" ht="15" x14ac:dyDescent="0.25">
      <c r="A236"/>
      <c r="B236"/>
      <c r="C236"/>
      <c r="D236"/>
      <c r="E236"/>
      <c r="F236"/>
      <c r="G236"/>
    </row>
    <row r="237" spans="1:7" ht="15" x14ac:dyDescent="0.25">
      <c r="A237"/>
      <c r="B237"/>
      <c r="C237"/>
      <c r="D237"/>
      <c r="E237"/>
      <c r="F237"/>
      <c r="G237"/>
    </row>
    <row r="238" spans="1:7" ht="15" x14ac:dyDescent="0.25">
      <c r="A238"/>
      <c r="B238"/>
      <c r="C238"/>
      <c r="D238"/>
      <c r="E238"/>
      <c r="F238"/>
      <c r="G238"/>
    </row>
    <row r="239" spans="1:7" ht="15" x14ac:dyDescent="0.25">
      <c r="A239"/>
      <c r="B239"/>
      <c r="C239"/>
      <c r="D239"/>
      <c r="E239"/>
      <c r="F239"/>
      <c r="G239"/>
    </row>
    <row r="240" spans="1:7" ht="15" x14ac:dyDescent="0.25">
      <c r="A240"/>
      <c r="B240"/>
      <c r="C240"/>
      <c r="D240"/>
      <c r="E240"/>
      <c r="F240"/>
      <c r="G240"/>
    </row>
    <row r="241" spans="1:7" ht="15" x14ac:dyDescent="0.25">
      <c r="A241"/>
      <c r="B241"/>
      <c r="C241"/>
      <c r="D241"/>
      <c r="E241"/>
      <c r="F241"/>
      <c r="G241"/>
    </row>
    <row r="242" spans="1:7" ht="15" x14ac:dyDescent="0.25">
      <c r="A242"/>
      <c r="B242"/>
      <c r="C242"/>
      <c r="D242"/>
      <c r="E242"/>
      <c r="F242"/>
      <c r="G242"/>
    </row>
    <row r="243" spans="1:7" ht="15" x14ac:dyDescent="0.25">
      <c r="A243"/>
      <c r="B243"/>
      <c r="C243"/>
      <c r="D243"/>
      <c r="E243"/>
      <c r="F243"/>
      <c r="G243"/>
    </row>
    <row r="244" spans="1:7" ht="15" x14ac:dyDescent="0.25">
      <c r="A244"/>
      <c r="B244"/>
      <c r="C244"/>
      <c r="D244"/>
      <c r="E244"/>
      <c r="F244"/>
      <c r="G244"/>
    </row>
    <row r="245" spans="1:7" ht="15" x14ac:dyDescent="0.25">
      <c r="A245"/>
      <c r="B245"/>
      <c r="C245"/>
      <c r="D245"/>
      <c r="E245"/>
      <c r="F245"/>
      <c r="G245"/>
    </row>
    <row r="246" spans="1:7" ht="15" x14ac:dyDescent="0.25">
      <c r="A246"/>
      <c r="B246"/>
      <c r="C246"/>
      <c r="D246"/>
      <c r="E246"/>
      <c r="F246"/>
      <c r="G246"/>
    </row>
    <row r="247" spans="1:7" ht="15" x14ac:dyDescent="0.25">
      <c r="A247"/>
      <c r="B247"/>
      <c r="C247"/>
      <c r="D247"/>
      <c r="E247"/>
      <c r="F247"/>
      <c r="G247"/>
    </row>
    <row r="248" spans="1:7" ht="15" x14ac:dyDescent="0.25">
      <c r="A248"/>
      <c r="B248"/>
      <c r="C248"/>
      <c r="D248"/>
      <c r="E248"/>
      <c r="F248"/>
      <c r="G248"/>
    </row>
    <row r="249" spans="1:7" ht="15" x14ac:dyDescent="0.25">
      <c r="A249"/>
      <c r="B249"/>
      <c r="C249"/>
      <c r="D249"/>
      <c r="E249"/>
      <c r="F249"/>
      <c r="G249"/>
    </row>
    <row r="250" spans="1:7" ht="15" x14ac:dyDescent="0.25">
      <c r="A250"/>
      <c r="B250"/>
      <c r="C250"/>
      <c r="D250"/>
      <c r="E250"/>
      <c r="F250"/>
      <c r="G250"/>
    </row>
    <row r="251" spans="1:7" ht="15" x14ac:dyDescent="0.25">
      <c r="A251"/>
      <c r="B251"/>
      <c r="C251"/>
      <c r="D251"/>
      <c r="E251"/>
      <c r="F251"/>
      <c r="G251"/>
    </row>
    <row r="252" spans="1:7" ht="15" x14ac:dyDescent="0.25">
      <c r="A252"/>
      <c r="B252"/>
      <c r="C252"/>
      <c r="D252"/>
      <c r="E252"/>
      <c r="F252"/>
      <c r="G252"/>
    </row>
    <row r="253" spans="1:7" ht="15" x14ac:dyDescent="0.25">
      <c r="A253"/>
      <c r="B253"/>
      <c r="C253"/>
      <c r="D253"/>
      <c r="E253"/>
      <c r="F253"/>
      <c r="G253"/>
    </row>
    <row r="254" spans="1:7" ht="15" x14ac:dyDescent="0.25">
      <c r="A254"/>
      <c r="B254"/>
      <c r="C254"/>
      <c r="D254"/>
      <c r="E254"/>
      <c r="F254"/>
      <c r="G254"/>
    </row>
    <row r="255" spans="1:7" ht="15" x14ac:dyDescent="0.25">
      <c r="A255"/>
      <c r="B255"/>
      <c r="C255"/>
      <c r="D255"/>
      <c r="E255"/>
      <c r="F255"/>
      <c r="G255"/>
    </row>
    <row r="256" spans="1:7" ht="15" x14ac:dyDescent="0.25">
      <c r="A256"/>
      <c r="B256"/>
      <c r="C256"/>
      <c r="D256"/>
      <c r="E256"/>
      <c r="F256"/>
      <c r="G256"/>
    </row>
    <row r="257" spans="1:7" ht="15" x14ac:dyDescent="0.25">
      <c r="A257"/>
      <c r="B257"/>
      <c r="C257"/>
      <c r="D257"/>
      <c r="E257"/>
      <c r="F257"/>
      <c r="G257"/>
    </row>
    <row r="258" spans="1:7" ht="15" x14ac:dyDescent="0.25">
      <c r="A258"/>
      <c r="B258"/>
      <c r="C258"/>
      <c r="D258"/>
      <c r="E258"/>
      <c r="F258"/>
      <c r="G258"/>
    </row>
    <row r="259" spans="1:7" ht="15" x14ac:dyDescent="0.25">
      <c r="A259"/>
      <c r="B259"/>
      <c r="C259"/>
      <c r="D259"/>
      <c r="E259"/>
      <c r="F259"/>
      <c r="G259"/>
    </row>
    <row r="260" spans="1:7" ht="15" x14ac:dyDescent="0.25">
      <c r="A260"/>
      <c r="B260"/>
      <c r="C260"/>
      <c r="D260"/>
      <c r="E260"/>
      <c r="F260"/>
      <c r="G260"/>
    </row>
    <row r="261" spans="1:7" ht="15" x14ac:dyDescent="0.25">
      <c r="A261"/>
      <c r="B261"/>
      <c r="C261"/>
      <c r="D261"/>
      <c r="E261"/>
      <c r="F261"/>
      <c r="G261"/>
    </row>
    <row r="262" spans="1:7" ht="15" x14ac:dyDescent="0.25">
      <c r="A262"/>
      <c r="B262"/>
      <c r="C262"/>
      <c r="D262"/>
      <c r="E262"/>
      <c r="F262"/>
      <c r="G262"/>
    </row>
    <row r="263" spans="1:7" ht="15" x14ac:dyDescent="0.25">
      <c r="A263"/>
      <c r="B263"/>
      <c r="C263"/>
      <c r="D263"/>
      <c r="E263"/>
      <c r="F263"/>
      <c r="G263"/>
    </row>
    <row r="264" spans="1:7" ht="15" x14ac:dyDescent="0.25">
      <c r="A264"/>
      <c r="B264"/>
      <c r="C264"/>
      <c r="D264"/>
      <c r="E264"/>
      <c r="F264"/>
      <c r="G264"/>
    </row>
    <row r="265" spans="1:7" ht="15" x14ac:dyDescent="0.25">
      <c r="A265"/>
      <c r="B265"/>
      <c r="C265"/>
      <c r="D265"/>
      <c r="E265"/>
      <c r="F265"/>
      <c r="G265"/>
    </row>
    <row r="266" spans="1:7" ht="15" x14ac:dyDescent="0.25">
      <c r="A266"/>
      <c r="B266"/>
      <c r="C266"/>
      <c r="D266"/>
      <c r="E266"/>
      <c r="F266"/>
      <c r="G266"/>
    </row>
    <row r="267" spans="1:7" ht="15" x14ac:dyDescent="0.25">
      <c r="A267"/>
      <c r="B267"/>
      <c r="C267"/>
      <c r="D267"/>
      <c r="E267"/>
      <c r="F267"/>
      <c r="G267"/>
    </row>
    <row r="268" spans="1:7" ht="15" x14ac:dyDescent="0.25">
      <c r="A268"/>
      <c r="B268"/>
      <c r="C268"/>
      <c r="D268"/>
      <c r="E268"/>
      <c r="F268"/>
      <c r="G268"/>
    </row>
    <row r="269" spans="1:7" ht="15" x14ac:dyDescent="0.25">
      <c r="A269"/>
      <c r="B269"/>
      <c r="C269"/>
      <c r="D269"/>
      <c r="E269"/>
      <c r="F269"/>
      <c r="G269"/>
    </row>
    <row r="270" spans="1:7" ht="15" x14ac:dyDescent="0.25">
      <c r="A270"/>
      <c r="B270"/>
      <c r="C270"/>
      <c r="D270"/>
      <c r="E270"/>
      <c r="F270"/>
      <c r="G270"/>
    </row>
    <row r="271" spans="1:7" ht="15" x14ac:dyDescent="0.25">
      <c r="A271"/>
      <c r="B271"/>
      <c r="C271"/>
      <c r="D271"/>
      <c r="E271"/>
      <c r="F271"/>
      <c r="G271"/>
    </row>
    <row r="272" spans="1:7" ht="15" x14ac:dyDescent="0.25">
      <c r="A272"/>
      <c r="B272"/>
      <c r="C272"/>
      <c r="D272"/>
      <c r="E272"/>
      <c r="F272"/>
      <c r="G272"/>
    </row>
    <row r="273" spans="1:7" ht="15" x14ac:dyDescent="0.25">
      <c r="A273"/>
      <c r="B273"/>
      <c r="C273"/>
      <c r="D273"/>
      <c r="E273"/>
      <c r="F273"/>
      <c r="G273"/>
    </row>
    <row r="274" spans="1:7" ht="15" x14ac:dyDescent="0.25">
      <c r="A274"/>
      <c r="B274"/>
      <c r="C274"/>
      <c r="D274"/>
      <c r="E274"/>
      <c r="F274"/>
      <c r="G274"/>
    </row>
    <row r="275" spans="1:7" ht="15" x14ac:dyDescent="0.25">
      <c r="A275"/>
      <c r="B275"/>
      <c r="C275"/>
      <c r="D275"/>
      <c r="E275"/>
      <c r="F275"/>
      <c r="G275"/>
    </row>
    <row r="276" spans="1:7" ht="15" x14ac:dyDescent="0.25">
      <c r="A276"/>
      <c r="B276"/>
      <c r="C276"/>
      <c r="D276"/>
      <c r="E276"/>
      <c r="F276"/>
      <c r="G276"/>
    </row>
    <row r="277" spans="1:7" ht="15" x14ac:dyDescent="0.25">
      <c r="A277"/>
      <c r="B277"/>
      <c r="C277"/>
      <c r="D277"/>
      <c r="E277"/>
      <c r="F277"/>
      <c r="G277"/>
    </row>
    <row r="278" spans="1:7" ht="15" x14ac:dyDescent="0.25">
      <c r="A278"/>
      <c r="B278"/>
      <c r="C278"/>
      <c r="D278"/>
      <c r="E278"/>
      <c r="F278"/>
      <c r="G278"/>
    </row>
    <row r="279" spans="1:7" ht="15" x14ac:dyDescent="0.25">
      <c r="A279"/>
      <c r="B279"/>
      <c r="C279"/>
      <c r="D279"/>
      <c r="E279"/>
      <c r="F279"/>
      <c r="G279"/>
    </row>
    <row r="280" spans="1:7" ht="15" x14ac:dyDescent="0.25">
      <c r="A280"/>
      <c r="B280"/>
      <c r="C280"/>
      <c r="D280"/>
      <c r="E280"/>
      <c r="F280"/>
      <c r="G280"/>
    </row>
    <row r="281" spans="1:7" ht="15" x14ac:dyDescent="0.25">
      <c r="A281"/>
      <c r="B281"/>
      <c r="C281"/>
      <c r="D281"/>
      <c r="E281"/>
      <c r="F281"/>
      <c r="G281"/>
    </row>
    <row r="282" spans="1:7" ht="15" x14ac:dyDescent="0.25">
      <c r="A282"/>
      <c r="B282"/>
      <c r="C282"/>
      <c r="D282"/>
      <c r="E282"/>
      <c r="F282"/>
      <c r="G282"/>
    </row>
    <row r="283" spans="1:7" ht="15" x14ac:dyDescent="0.25">
      <c r="A283"/>
      <c r="B283"/>
      <c r="C283"/>
      <c r="D283"/>
      <c r="E283"/>
      <c r="F283"/>
      <c r="G283"/>
    </row>
    <row r="284" spans="1:7" ht="15" x14ac:dyDescent="0.25">
      <c r="A284"/>
      <c r="B284"/>
      <c r="C284"/>
      <c r="D284"/>
      <c r="E284"/>
      <c r="F284"/>
      <c r="G284"/>
    </row>
    <row r="285" spans="1:7" ht="15" x14ac:dyDescent="0.25">
      <c r="A285"/>
      <c r="B285"/>
      <c r="C285"/>
      <c r="D285"/>
      <c r="E285"/>
      <c r="F285"/>
      <c r="G285"/>
    </row>
    <row r="286" spans="1:7" ht="15" x14ac:dyDescent="0.25">
      <c r="A286"/>
      <c r="B286"/>
      <c r="C286"/>
      <c r="D286"/>
      <c r="E286"/>
      <c r="F286"/>
      <c r="G286"/>
    </row>
    <row r="287" spans="1:7" ht="15" x14ac:dyDescent="0.25">
      <c r="A287"/>
      <c r="B287"/>
      <c r="C287"/>
      <c r="D287"/>
      <c r="E287"/>
      <c r="F287"/>
      <c r="G287"/>
    </row>
    <row r="288" spans="1:7" ht="15" x14ac:dyDescent="0.25">
      <c r="A288"/>
      <c r="B288"/>
      <c r="C288"/>
      <c r="D288"/>
      <c r="E288"/>
      <c r="F288"/>
      <c r="G288"/>
    </row>
    <row r="289" spans="1:7" ht="15" x14ac:dyDescent="0.25">
      <c r="A289"/>
      <c r="B289"/>
      <c r="C289" s="179"/>
      <c r="D289"/>
      <c r="E289"/>
      <c r="F289"/>
      <c r="G289"/>
    </row>
    <row r="290" spans="1:7" ht="15" x14ac:dyDescent="0.25">
      <c r="A290"/>
      <c r="B290"/>
      <c r="C290" s="179"/>
      <c r="D290"/>
      <c r="E290"/>
      <c r="F290"/>
      <c r="G290"/>
    </row>
    <row r="291" spans="1:7" ht="15" x14ac:dyDescent="0.25">
      <c r="A291"/>
      <c r="B291"/>
      <c r="C291" s="179"/>
      <c r="D291"/>
      <c r="E291"/>
      <c r="F291"/>
      <c r="G291"/>
    </row>
    <row r="292" spans="1:7" ht="15" x14ac:dyDescent="0.25">
      <c r="A292"/>
      <c r="B292"/>
      <c r="C292" s="179"/>
      <c r="D292"/>
      <c r="E292"/>
      <c r="F292"/>
      <c r="G292"/>
    </row>
    <row r="293" spans="1:7" ht="15" x14ac:dyDescent="0.25">
      <c r="A293"/>
      <c r="B293"/>
      <c r="C293" s="179"/>
      <c r="D293"/>
      <c r="E293"/>
      <c r="F293"/>
      <c r="G293"/>
    </row>
    <row r="294" spans="1:7" ht="15" x14ac:dyDescent="0.25">
      <c r="A294"/>
      <c r="B294"/>
      <c r="C294" s="179"/>
      <c r="D294"/>
      <c r="E294"/>
      <c r="F294"/>
      <c r="G294"/>
    </row>
    <row r="295" spans="1:7" ht="15" x14ac:dyDescent="0.25">
      <c r="A295"/>
      <c r="B295"/>
      <c r="C295" s="179"/>
      <c r="D295"/>
      <c r="E295"/>
      <c r="F295"/>
      <c r="G295"/>
    </row>
    <row r="296" spans="1:7" ht="15" x14ac:dyDescent="0.25">
      <c r="A296"/>
      <c r="B296"/>
      <c r="C296" s="179"/>
      <c r="D296"/>
      <c r="E296"/>
      <c r="F296"/>
      <c r="G296"/>
    </row>
    <row r="297" spans="1:7" ht="15" x14ac:dyDescent="0.25">
      <c r="A297"/>
      <c r="B297"/>
      <c r="C297" s="179"/>
      <c r="D297"/>
      <c r="E297"/>
      <c r="F297"/>
      <c r="G297"/>
    </row>
    <row r="298" spans="1:7" ht="15" x14ac:dyDescent="0.25">
      <c r="A298"/>
      <c r="B298"/>
      <c r="C298" s="179"/>
      <c r="D298"/>
      <c r="E298"/>
      <c r="F298"/>
      <c r="G298"/>
    </row>
    <row r="299" spans="1:7" ht="15" x14ac:dyDescent="0.25">
      <c r="A299"/>
      <c r="B299"/>
      <c r="C299" s="179"/>
      <c r="D299"/>
      <c r="E299"/>
      <c r="F299"/>
      <c r="G299"/>
    </row>
    <row r="300" spans="1:7" ht="15" x14ac:dyDescent="0.25">
      <c r="A300"/>
      <c r="B300"/>
      <c r="C300" s="179"/>
      <c r="D300"/>
      <c r="E300"/>
      <c r="F300"/>
      <c r="G300"/>
    </row>
    <row r="301" spans="1:7" ht="15" x14ac:dyDescent="0.25">
      <c r="A301"/>
      <c r="B301"/>
      <c r="C301" s="179"/>
      <c r="D301"/>
      <c r="E301"/>
      <c r="F301"/>
      <c r="G301"/>
    </row>
    <row r="302" spans="1:7" ht="15" x14ac:dyDescent="0.25">
      <c r="A302"/>
      <c r="B302"/>
      <c r="C302" s="179"/>
      <c r="D302"/>
      <c r="E302"/>
      <c r="F302"/>
      <c r="G302"/>
    </row>
    <row r="303" spans="1:7" ht="15" x14ac:dyDescent="0.25">
      <c r="A303"/>
      <c r="B303"/>
      <c r="C303" s="179"/>
      <c r="D303"/>
      <c r="E303"/>
      <c r="F303"/>
      <c r="G303"/>
    </row>
    <row r="304" spans="1:7" ht="15" x14ac:dyDescent="0.25">
      <c r="A304"/>
      <c r="B304"/>
      <c r="C304" s="179"/>
      <c r="D304"/>
      <c r="E304"/>
      <c r="F304"/>
      <c r="G304"/>
    </row>
    <row r="305" spans="1:7" ht="15" x14ac:dyDescent="0.25">
      <c r="A305"/>
      <c r="B305"/>
      <c r="C305" s="179"/>
      <c r="D305"/>
      <c r="E305"/>
      <c r="F305"/>
      <c r="G305"/>
    </row>
    <row r="306" spans="1:7" ht="15" x14ac:dyDescent="0.25">
      <c r="A306"/>
      <c r="B306"/>
      <c r="C306" s="179"/>
      <c r="D306"/>
      <c r="E306"/>
      <c r="F306"/>
      <c r="G306"/>
    </row>
    <row r="307" spans="1:7" ht="15" x14ac:dyDescent="0.25">
      <c r="A307"/>
      <c r="B307"/>
      <c r="C307" s="179"/>
      <c r="D307"/>
      <c r="E307"/>
      <c r="F307"/>
      <c r="G307"/>
    </row>
    <row r="308" spans="1:7" ht="15" x14ac:dyDescent="0.25">
      <c r="A308"/>
      <c r="B308"/>
      <c r="C308" s="179"/>
      <c r="D308"/>
      <c r="E308"/>
      <c r="F308"/>
      <c r="G308"/>
    </row>
    <row r="309" spans="1:7" ht="15" x14ac:dyDescent="0.25">
      <c r="A309"/>
      <c r="B309"/>
      <c r="C309" s="179"/>
      <c r="D309"/>
      <c r="E309"/>
      <c r="F309"/>
      <c r="G309"/>
    </row>
    <row r="310" spans="1:7" ht="15" x14ac:dyDescent="0.25">
      <c r="A310"/>
      <c r="B310"/>
      <c r="C310" s="179"/>
      <c r="D310"/>
      <c r="E310"/>
      <c r="F310"/>
      <c r="G310"/>
    </row>
    <row r="311" spans="1:7" ht="15" x14ac:dyDescent="0.25">
      <c r="A311"/>
      <c r="B311"/>
      <c r="C311" s="179"/>
      <c r="D311"/>
      <c r="E311"/>
      <c r="F311"/>
      <c r="G311"/>
    </row>
    <row r="312" spans="1:7" ht="15" x14ac:dyDescent="0.25">
      <c r="A312"/>
      <c r="B312"/>
      <c r="C312" s="179"/>
      <c r="D312"/>
      <c r="E312"/>
      <c r="F312"/>
      <c r="G312"/>
    </row>
    <row r="313" spans="1:7" ht="15" x14ac:dyDescent="0.25">
      <c r="A313"/>
      <c r="B313"/>
      <c r="C313" s="179"/>
      <c r="D313"/>
      <c r="E313"/>
      <c r="F313"/>
      <c r="G313"/>
    </row>
    <row r="314" spans="1:7" ht="15" x14ac:dyDescent="0.25">
      <c r="A314"/>
      <c r="B314"/>
      <c r="C314" s="179"/>
      <c r="D314"/>
      <c r="E314"/>
      <c r="F314"/>
      <c r="G314"/>
    </row>
    <row r="315" spans="1:7" ht="15" x14ac:dyDescent="0.25">
      <c r="A315"/>
      <c r="B315"/>
      <c r="C315" s="179"/>
      <c r="D315"/>
      <c r="E315"/>
      <c r="F315"/>
      <c r="G315"/>
    </row>
  </sheetData>
  <mergeCells count="1">
    <mergeCell ref="A4:F4"/>
  </mergeCells>
  <printOptions horizontalCentered="1"/>
  <pageMargins left="0.31496062992125984" right="0.31496062992125984" top="0.39370078740157483" bottom="0.51181102362204722" header="0.31496062992125984" footer="0.31496062992125984"/>
  <pageSetup paperSize="9" scale="79" fitToHeight="0" orientation="portrait" horizontalDpi="1200" verticalDpi="1200" r:id="rId2"/>
  <headerFooter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D59A4-B245-468D-BF3D-C0610DC870A2}">
  <sheetPr codeName="Sheet6">
    <tabColor theme="2" tint="-0.249977111117893"/>
  </sheetPr>
  <dimension ref="A1:I110"/>
  <sheetViews>
    <sheetView showGridLines="0" zoomScaleNormal="100" workbookViewId="0">
      <selection activeCell="A110" sqref="A110"/>
    </sheetView>
  </sheetViews>
  <sheetFormatPr defaultColWidth="9.140625" defaultRowHeight="16.5" x14ac:dyDescent="0.3"/>
  <cols>
    <col min="1" max="1" width="8.5703125" style="1" customWidth="1"/>
    <col min="2" max="2" width="15" style="1" customWidth="1"/>
    <col min="3" max="4" width="12.85546875" style="1" customWidth="1"/>
    <col min="5" max="5" width="7.85546875" style="1" customWidth="1"/>
    <col min="6" max="6" width="10.7109375" style="1" customWidth="1"/>
    <col min="7" max="7" width="10" style="1" customWidth="1"/>
    <col min="8" max="8" width="15.7109375" style="1" customWidth="1"/>
    <col min="9" max="9" width="6.42578125" style="1" customWidth="1"/>
    <col min="10" max="16384" width="9.140625" style="1"/>
  </cols>
  <sheetData>
    <row r="1" spans="1:9" s="20" customFormat="1" ht="15.75" customHeight="1" x14ac:dyDescent="0.3">
      <c r="A1" s="15" t="s">
        <v>0</v>
      </c>
      <c r="H1" s="229" t="s">
        <v>290</v>
      </c>
      <c r="I1" s="229"/>
    </row>
    <row r="2" spans="1:9" s="20" customFormat="1" ht="21.75" x14ac:dyDescent="0.4">
      <c r="A2" s="42" t="s">
        <v>1</v>
      </c>
      <c r="H2" s="23"/>
    </row>
    <row r="3" spans="1:9" s="20" customFormat="1" ht="32.25" customHeight="1" thickBot="1" x14ac:dyDescent="0.35">
      <c r="A3" s="40" t="s">
        <v>291</v>
      </c>
      <c r="B3" s="41"/>
      <c r="C3" s="79" t="s">
        <v>292</v>
      </c>
      <c r="D3" s="80"/>
      <c r="E3" s="80"/>
      <c r="F3" s="80"/>
      <c r="G3" s="80"/>
      <c r="H3" s="80"/>
      <c r="I3" s="80"/>
    </row>
    <row r="5" spans="1:9" ht="18" x14ac:dyDescent="0.35">
      <c r="A5" s="46" t="s">
        <v>293</v>
      </c>
    </row>
    <row r="6" spans="1:9" x14ac:dyDescent="0.3">
      <c r="A6" s="230" t="s">
        <v>294</v>
      </c>
      <c r="B6" s="230"/>
      <c r="C6" s="230"/>
      <c r="D6" s="230"/>
      <c r="E6" s="230"/>
      <c r="F6" s="230"/>
      <c r="G6" s="230"/>
      <c r="H6" s="230"/>
      <c r="I6" s="230"/>
    </row>
    <row r="7" spans="1:9" ht="33" customHeight="1" x14ac:dyDescent="0.3">
      <c r="A7" s="230" t="s">
        <v>295</v>
      </c>
      <c r="B7" s="230"/>
      <c r="C7" s="230"/>
      <c r="D7" s="230"/>
      <c r="E7" s="230"/>
      <c r="F7" s="230"/>
      <c r="G7" s="230"/>
      <c r="H7" s="230"/>
      <c r="I7" s="230"/>
    </row>
    <row r="8" spans="1:9" ht="9" customHeight="1" x14ac:dyDescent="0.3"/>
    <row r="9" spans="1:9" ht="18" x14ac:dyDescent="0.35">
      <c r="A9" s="46" t="s">
        <v>296</v>
      </c>
    </row>
    <row r="10" spans="1:9" ht="33" customHeight="1" x14ac:dyDescent="0.3">
      <c r="A10" s="230" t="s">
        <v>297</v>
      </c>
      <c r="B10" s="230"/>
      <c r="C10" s="230"/>
      <c r="D10" s="230"/>
      <c r="E10" s="230"/>
      <c r="F10" s="230"/>
      <c r="G10" s="230"/>
      <c r="H10" s="230"/>
      <c r="I10" s="230"/>
    </row>
    <row r="11" spans="1:9" ht="9" customHeight="1" x14ac:dyDescent="0.3">
      <c r="A11" s="44"/>
      <c r="B11" s="43"/>
      <c r="C11" s="43"/>
      <c r="D11" s="43"/>
      <c r="E11" s="43"/>
      <c r="F11" s="43"/>
      <c r="G11" s="43"/>
      <c r="H11" s="43"/>
      <c r="I11" s="43"/>
    </row>
    <row r="12" spans="1:9" ht="18" x14ac:dyDescent="0.35">
      <c r="A12" s="46" t="s">
        <v>298</v>
      </c>
    </row>
    <row r="13" spans="1:9" ht="21" x14ac:dyDescent="0.4">
      <c r="A13" s="69" t="s">
        <v>299</v>
      </c>
      <c r="B13" s="70"/>
      <c r="C13" s="66"/>
      <c r="D13" s="66"/>
      <c r="E13" s="66"/>
      <c r="F13" s="66"/>
      <c r="G13" s="66"/>
      <c r="H13" s="66"/>
      <c r="I13" s="66"/>
    </row>
    <row r="14" spans="1:9" ht="32.25" customHeight="1" x14ac:dyDescent="0.3">
      <c r="A14" s="230" t="s">
        <v>300</v>
      </c>
      <c r="B14" s="230"/>
      <c r="C14" s="230"/>
      <c r="D14" s="230"/>
      <c r="E14" s="230"/>
      <c r="F14" s="230"/>
      <c r="G14" s="230"/>
      <c r="H14" s="230"/>
      <c r="I14" s="230"/>
    </row>
    <row r="15" spans="1:9" ht="9" customHeight="1" x14ac:dyDescent="0.3">
      <c r="A15" s="45"/>
      <c r="B15" s="45"/>
      <c r="C15" s="45"/>
      <c r="D15" s="45"/>
      <c r="E15" s="45"/>
      <c r="F15" s="45"/>
      <c r="G15" s="45"/>
      <c r="H15" s="45"/>
      <c r="I15" s="45"/>
    </row>
    <row r="16" spans="1:9" ht="24.75" customHeight="1" x14ac:dyDescent="0.4">
      <c r="A16" s="76" t="s">
        <v>301</v>
      </c>
    </row>
    <row r="17" spans="1:9" ht="16.5" customHeight="1" x14ac:dyDescent="0.3">
      <c r="A17" s="230" t="s">
        <v>302</v>
      </c>
      <c r="B17" s="230"/>
      <c r="C17" s="230"/>
      <c r="D17" s="230"/>
      <c r="E17" s="230"/>
      <c r="F17" s="230"/>
      <c r="G17" s="230"/>
      <c r="H17" s="230"/>
      <c r="I17" s="230"/>
    </row>
    <row r="18" spans="1:9" s="48" customFormat="1" ht="12" x14ac:dyDescent="0.25">
      <c r="B18" s="63" t="s">
        <v>3</v>
      </c>
      <c r="C18" s="64" t="s">
        <v>303</v>
      </c>
      <c r="D18" s="63"/>
      <c r="E18" s="63"/>
      <c r="F18" s="63"/>
      <c r="G18" s="63"/>
      <c r="H18" s="63"/>
    </row>
    <row r="19" spans="1:9" s="48" customFormat="1" ht="12" x14ac:dyDescent="0.25">
      <c r="B19" s="63" t="s">
        <v>4</v>
      </c>
      <c r="C19" s="64" t="s">
        <v>304</v>
      </c>
      <c r="D19" s="63"/>
      <c r="E19" s="63"/>
      <c r="F19" s="63"/>
      <c r="G19" s="63"/>
      <c r="H19" s="63"/>
    </row>
    <row r="20" spans="1:9" s="48" customFormat="1" ht="12" x14ac:dyDescent="0.25">
      <c r="B20" s="63" t="s">
        <v>5</v>
      </c>
      <c r="C20" s="64" t="s">
        <v>305</v>
      </c>
      <c r="D20" s="63"/>
      <c r="E20" s="63"/>
      <c r="F20" s="63"/>
      <c r="G20" s="63"/>
      <c r="H20" s="63"/>
    </row>
    <row r="21" spans="1:9" s="48" customFormat="1" ht="12" x14ac:dyDescent="0.25">
      <c r="B21" s="63" t="s">
        <v>306</v>
      </c>
      <c r="C21" s="64" t="s">
        <v>307</v>
      </c>
      <c r="D21" s="63"/>
      <c r="E21" s="63"/>
      <c r="F21" s="63"/>
      <c r="G21" s="63"/>
      <c r="H21" s="63"/>
    </row>
    <row r="22" spans="1:9" s="48" customFormat="1" ht="24" customHeight="1" x14ac:dyDescent="0.25">
      <c r="B22" s="63" t="s">
        <v>7</v>
      </c>
      <c r="C22" s="231" t="s">
        <v>308</v>
      </c>
      <c r="D22" s="231"/>
      <c r="E22" s="231"/>
      <c r="F22" s="231"/>
      <c r="G22" s="231"/>
      <c r="H22" s="231"/>
      <c r="I22" s="49"/>
    </row>
    <row r="23" spans="1:9" s="48" customFormat="1" ht="12" x14ac:dyDescent="0.25">
      <c r="B23" s="63" t="s">
        <v>8</v>
      </c>
      <c r="C23" s="64" t="s">
        <v>309</v>
      </c>
      <c r="D23" s="63"/>
      <c r="E23" s="63"/>
      <c r="F23" s="63"/>
      <c r="G23" s="63"/>
      <c r="H23" s="63"/>
    </row>
    <row r="24" spans="1:9" ht="9" customHeight="1" x14ac:dyDescent="0.3">
      <c r="A24" s="45"/>
      <c r="B24" s="45"/>
      <c r="C24" s="45"/>
      <c r="D24" s="45"/>
      <c r="E24" s="45"/>
      <c r="F24" s="45"/>
      <c r="G24" s="45"/>
      <c r="H24" s="45"/>
      <c r="I24" s="45"/>
    </row>
    <row r="25" spans="1:9" ht="24.75" customHeight="1" x14ac:dyDescent="0.4">
      <c r="A25" s="76" t="s">
        <v>310</v>
      </c>
    </row>
    <row r="26" spans="1:9" x14ac:dyDescent="0.3">
      <c r="A26" s="230" t="s">
        <v>311</v>
      </c>
      <c r="B26" s="230"/>
      <c r="C26" s="230"/>
      <c r="D26" s="230"/>
      <c r="E26" s="230"/>
      <c r="F26" s="230"/>
      <c r="G26" s="230"/>
      <c r="H26" s="230"/>
      <c r="I26" s="230"/>
    </row>
    <row r="27" spans="1:9" ht="16.5" customHeight="1" x14ac:dyDescent="0.3">
      <c r="A27" s="230" t="s">
        <v>312</v>
      </c>
      <c r="B27" s="230"/>
      <c r="C27" s="230"/>
      <c r="D27" s="230"/>
      <c r="E27" s="230"/>
      <c r="F27" s="230"/>
      <c r="G27" s="230"/>
      <c r="H27" s="230"/>
      <c r="I27" s="230"/>
    </row>
    <row r="29" spans="1:9" x14ac:dyDescent="0.3">
      <c r="A29" s="234" t="s">
        <v>313</v>
      </c>
      <c r="B29" s="234"/>
      <c r="C29" s="234"/>
      <c r="D29" s="234"/>
      <c r="E29" s="234"/>
      <c r="F29" s="234"/>
      <c r="G29" s="234"/>
      <c r="H29" s="234"/>
      <c r="I29" s="234"/>
    </row>
    <row r="30" spans="1:9" ht="25.5" x14ac:dyDescent="0.3">
      <c r="A30" s="51" t="s">
        <v>15</v>
      </c>
      <c r="B30" s="52" t="s">
        <v>16</v>
      </c>
      <c r="C30" s="52" t="s">
        <v>17</v>
      </c>
      <c r="D30" s="52" t="s">
        <v>18</v>
      </c>
      <c r="E30" s="52" t="s">
        <v>19</v>
      </c>
      <c r="F30" s="52" t="s">
        <v>20</v>
      </c>
      <c r="G30" s="52" t="s">
        <v>21</v>
      </c>
      <c r="H30" s="52" t="s">
        <v>22</v>
      </c>
    </row>
    <row r="31" spans="1:9" ht="14.25" customHeight="1" x14ac:dyDescent="0.3">
      <c r="A31" s="53" t="s">
        <v>27</v>
      </c>
      <c r="B31" s="54"/>
      <c r="C31" s="54"/>
      <c r="D31" s="54"/>
      <c r="E31" s="54"/>
      <c r="F31" s="54"/>
      <c r="G31" s="55"/>
      <c r="H31" s="55">
        <v>0</v>
      </c>
    </row>
    <row r="32" spans="1:9" ht="14.25" customHeight="1" x14ac:dyDescent="0.3">
      <c r="A32" s="56" t="s">
        <v>27</v>
      </c>
      <c r="B32" s="57"/>
      <c r="C32" s="57"/>
      <c r="D32" s="57"/>
      <c r="E32" s="57"/>
      <c r="F32" s="57"/>
      <c r="G32" s="58"/>
      <c r="H32" s="58">
        <v>0</v>
      </c>
    </row>
    <row r="33" spans="1:9" ht="14.25" customHeight="1" x14ac:dyDescent="0.3">
      <c r="A33" s="53" t="s">
        <v>27</v>
      </c>
      <c r="B33" s="54"/>
      <c r="C33" s="54"/>
      <c r="D33" s="54"/>
      <c r="E33" s="54"/>
      <c r="F33" s="54"/>
      <c r="G33" s="55"/>
      <c r="H33" s="55">
        <v>0</v>
      </c>
    </row>
    <row r="34" spans="1:9" ht="15" customHeight="1" x14ac:dyDescent="0.3">
      <c r="A34" s="59" t="s">
        <v>28</v>
      </c>
      <c r="B34" s="60" t="s">
        <v>29</v>
      </c>
      <c r="C34" s="60"/>
      <c r="D34" s="60"/>
      <c r="E34" s="60"/>
      <c r="F34" s="61" t="s">
        <v>27</v>
      </c>
      <c r="G34" s="62"/>
      <c r="H34" s="62">
        <f>SUMIFS(BUDGET[Total Cost LC],BUDGET[Output
Code],BUDGET[[#This Row],[Unit
Cost LC]])</f>
        <v>0</v>
      </c>
    </row>
    <row r="35" spans="1:9" ht="15.75" customHeight="1" x14ac:dyDescent="0.3"/>
    <row r="36" spans="1:9" ht="16.5" customHeight="1" x14ac:dyDescent="0.3">
      <c r="A36" s="230" t="s">
        <v>314</v>
      </c>
      <c r="B36" s="230"/>
      <c r="C36" s="230"/>
      <c r="D36" s="230"/>
      <c r="E36" s="230"/>
      <c r="F36" s="230"/>
      <c r="G36" s="230"/>
      <c r="H36" s="230"/>
      <c r="I36" s="230"/>
    </row>
    <row r="37" spans="1:9" ht="25.5" x14ac:dyDescent="0.3">
      <c r="A37" s="51" t="s">
        <v>15</v>
      </c>
      <c r="B37" s="52" t="s">
        <v>16</v>
      </c>
      <c r="C37" s="52" t="s">
        <v>17</v>
      </c>
      <c r="D37" s="52" t="s">
        <v>18</v>
      </c>
      <c r="E37" s="52" t="s">
        <v>19</v>
      </c>
      <c r="F37" s="52" t="s">
        <v>20</v>
      </c>
      <c r="G37" s="52" t="s">
        <v>21</v>
      </c>
      <c r="H37" s="52" t="s">
        <v>22</v>
      </c>
    </row>
    <row r="38" spans="1:9" ht="14.25" customHeight="1" x14ac:dyDescent="0.3">
      <c r="A38" s="56" t="s">
        <v>27</v>
      </c>
      <c r="B38" s="57"/>
      <c r="C38" s="57"/>
      <c r="D38" s="57"/>
      <c r="E38" s="57"/>
      <c r="F38" s="57"/>
      <c r="G38" s="58"/>
      <c r="H38" s="58">
        <v>0</v>
      </c>
    </row>
    <row r="39" spans="1:9" ht="14.25" customHeight="1" x14ac:dyDescent="0.3">
      <c r="A39" s="53" t="s">
        <v>27</v>
      </c>
      <c r="B39" s="54"/>
      <c r="C39" s="54"/>
      <c r="D39" s="54"/>
      <c r="E39" s="54"/>
      <c r="F39" s="54"/>
      <c r="G39" s="55"/>
      <c r="H39" s="55">
        <v>0</v>
      </c>
    </row>
    <row r="40" spans="1:9" ht="14.25" customHeight="1" x14ac:dyDescent="0.3">
      <c r="A40" s="56"/>
      <c r="B40" s="57"/>
      <c r="C40" s="57"/>
      <c r="D40" s="57"/>
      <c r="E40" s="57"/>
      <c r="F40" s="57"/>
      <c r="G40" s="58"/>
      <c r="H40" s="58">
        <v>0</v>
      </c>
    </row>
    <row r="41" spans="1:9" ht="14.25" customHeight="1" x14ac:dyDescent="0.3">
      <c r="A41" s="53" t="s">
        <v>27</v>
      </c>
      <c r="B41" s="54"/>
      <c r="C41" s="54"/>
      <c r="D41" s="54"/>
      <c r="E41" s="54"/>
      <c r="F41" s="54"/>
      <c r="G41" s="55"/>
      <c r="H41" s="55">
        <v>0</v>
      </c>
    </row>
    <row r="42" spans="1:9" x14ac:dyDescent="0.3">
      <c r="A42" s="59" t="s">
        <v>28</v>
      </c>
      <c r="B42" s="60" t="s">
        <v>29</v>
      </c>
      <c r="C42" s="60"/>
      <c r="D42" s="60"/>
      <c r="E42" s="60"/>
      <c r="F42" s="61" t="s">
        <v>27</v>
      </c>
      <c r="G42" s="62">
        <f>SUMIFS(BUDGET[Total Cost LC],BUDGET[Output
Code],BUDGET[[#This Row],[Unit
Cost LC]])</f>
        <v>0</v>
      </c>
      <c r="H42" s="62">
        <f>SUMIFS(BUDGET[Total Cost LC],BUDGET[Output
Code],BUDGET[[#This Row],[Unit
Cost LC]])</f>
        <v>0</v>
      </c>
    </row>
    <row r="44" spans="1:9" s="2" customFormat="1" x14ac:dyDescent="0.25">
      <c r="A44" s="72" t="s">
        <v>315</v>
      </c>
      <c r="B44" s="71" t="s">
        <v>316</v>
      </c>
      <c r="C44" s="71"/>
      <c r="D44" s="71"/>
      <c r="E44" s="71"/>
      <c r="F44" s="71"/>
      <c r="G44" s="71"/>
      <c r="H44" s="71"/>
      <c r="I44" s="67"/>
    </row>
    <row r="46" spans="1:9" x14ac:dyDescent="0.3">
      <c r="A46" s="234" t="s">
        <v>317</v>
      </c>
      <c r="B46" s="234"/>
      <c r="C46" s="234"/>
      <c r="D46" s="234"/>
      <c r="E46" s="234"/>
      <c r="F46" s="234"/>
      <c r="G46" s="234"/>
      <c r="H46" s="234"/>
      <c r="I46" s="234"/>
    </row>
    <row r="47" spans="1:9" ht="16.5" customHeight="1" x14ac:dyDescent="0.3">
      <c r="A47" s="230" t="s">
        <v>318</v>
      </c>
      <c r="B47" s="230"/>
      <c r="C47" s="230"/>
      <c r="D47" s="230"/>
      <c r="E47" s="230"/>
      <c r="F47" s="230"/>
      <c r="G47" s="230"/>
      <c r="H47" s="230"/>
      <c r="I47" s="230"/>
    </row>
    <row r="48" spans="1:9" ht="6" customHeight="1" thickBot="1" x14ac:dyDescent="0.35"/>
    <row r="49" spans="1:9" s="191" customFormat="1" ht="29.25" customHeight="1" x14ac:dyDescent="0.15">
      <c r="A49" s="189" t="s">
        <v>15</v>
      </c>
      <c r="B49" s="195" t="s">
        <v>16</v>
      </c>
      <c r="C49" s="196" t="s">
        <v>17</v>
      </c>
      <c r="D49" s="193" t="s">
        <v>18</v>
      </c>
      <c r="E49" s="194" t="s">
        <v>19</v>
      </c>
      <c r="F49" s="190" t="s">
        <v>20</v>
      </c>
      <c r="G49" s="190" t="s">
        <v>21</v>
      </c>
      <c r="H49" s="52" t="s">
        <v>22</v>
      </c>
    </row>
    <row r="50" spans="1:9" x14ac:dyDescent="0.3">
      <c r="A50" s="73" t="s">
        <v>27</v>
      </c>
      <c r="B50" s="73" t="s">
        <v>319</v>
      </c>
      <c r="C50" s="225" t="s">
        <v>320</v>
      </c>
      <c r="D50" s="226" t="s">
        <v>3</v>
      </c>
      <c r="E50" s="227">
        <v>500</v>
      </c>
      <c r="F50" s="73">
        <v>1000</v>
      </c>
      <c r="G50" s="74" t="s">
        <v>321</v>
      </c>
      <c r="H50" s="74">
        <v>15</v>
      </c>
    </row>
    <row r="52" spans="1:9" s="50" customFormat="1" ht="12" customHeight="1" x14ac:dyDescent="0.2">
      <c r="A52" s="48"/>
      <c r="B52" s="63" t="s">
        <v>322</v>
      </c>
      <c r="C52" s="64" t="s">
        <v>323</v>
      </c>
      <c r="D52" s="65"/>
      <c r="E52" s="65"/>
      <c r="F52" s="65"/>
      <c r="G52" s="65"/>
      <c r="H52" s="65"/>
    </row>
    <row r="53" spans="1:9" s="50" customFormat="1" ht="24.75" customHeight="1" thickBot="1" x14ac:dyDescent="0.25">
      <c r="A53" s="48"/>
      <c r="B53" s="63" t="s">
        <v>16</v>
      </c>
      <c r="C53" s="231" t="s">
        <v>324</v>
      </c>
      <c r="D53" s="231"/>
      <c r="E53" s="231"/>
      <c r="F53" s="231"/>
      <c r="G53" s="231"/>
      <c r="H53" s="231"/>
    </row>
    <row r="54" spans="1:9" s="50" customFormat="1" ht="24.75" customHeight="1" x14ac:dyDescent="0.2">
      <c r="A54" s="48"/>
      <c r="B54" s="235" t="s">
        <v>325</v>
      </c>
      <c r="C54" s="236"/>
      <c r="D54" s="236"/>
      <c r="E54" s="236"/>
      <c r="F54" s="236"/>
      <c r="G54" s="236"/>
      <c r="H54" s="237"/>
    </row>
    <row r="55" spans="1:9" s="50" customFormat="1" ht="33.950000000000003" customHeight="1" x14ac:dyDescent="0.2">
      <c r="A55" s="48"/>
      <c r="B55" s="156" t="s">
        <v>284</v>
      </c>
      <c r="C55" s="231" t="s">
        <v>326</v>
      </c>
      <c r="D55" s="231"/>
      <c r="E55" s="231"/>
      <c r="F55" s="231"/>
      <c r="G55" s="231"/>
      <c r="H55" s="239"/>
    </row>
    <row r="56" spans="1:9" s="50" customFormat="1" ht="23.45" customHeight="1" x14ac:dyDescent="0.2">
      <c r="A56" s="48"/>
      <c r="B56" s="156" t="s">
        <v>283</v>
      </c>
      <c r="C56" s="231" t="s">
        <v>327</v>
      </c>
      <c r="D56" s="231"/>
      <c r="E56" s="231"/>
      <c r="F56" s="231"/>
      <c r="G56" s="231"/>
      <c r="H56" s="239"/>
    </row>
    <row r="57" spans="1:9" s="50" customFormat="1" ht="27" customHeight="1" thickBot="1" x14ac:dyDescent="0.25">
      <c r="A57" s="48"/>
      <c r="B57" s="157" t="s">
        <v>171</v>
      </c>
      <c r="C57" s="232" t="s">
        <v>328</v>
      </c>
      <c r="D57" s="232"/>
      <c r="E57" s="232"/>
      <c r="F57" s="232"/>
      <c r="G57" s="232"/>
      <c r="H57" s="233"/>
    </row>
    <row r="58" spans="1:9" s="50" customFormat="1" ht="12" x14ac:dyDescent="0.2">
      <c r="A58" s="48"/>
      <c r="B58" s="192" t="s">
        <v>329</v>
      </c>
      <c r="C58" s="192"/>
      <c r="D58" s="192"/>
      <c r="E58" s="192"/>
      <c r="F58" s="192"/>
      <c r="G58" s="192"/>
      <c r="H58" s="192"/>
    </row>
    <row r="59" spans="1:9" s="50" customFormat="1" ht="12" customHeight="1" x14ac:dyDescent="0.2">
      <c r="A59" s="48"/>
      <c r="B59" s="63" t="s">
        <v>20</v>
      </c>
      <c r="C59" s="64" t="s">
        <v>330</v>
      </c>
      <c r="D59" s="65"/>
      <c r="E59" s="65"/>
      <c r="F59" s="65"/>
      <c r="G59" s="65"/>
      <c r="H59" s="65"/>
    </row>
    <row r="60" spans="1:9" s="50" customFormat="1" ht="12" customHeight="1" x14ac:dyDescent="0.2">
      <c r="A60" s="48"/>
      <c r="B60" s="63" t="s">
        <v>21</v>
      </c>
      <c r="C60" s="64" t="s">
        <v>331</v>
      </c>
      <c r="D60" s="65"/>
      <c r="E60" s="65"/>
      <c r="F60" s="65"/>
      <c r="G60" s="65"/>
      <c r="H60" s="65"/>
    </row>
    <row r="61" spans="1:9" s="50" customFormat="1" ht="12" customHeight="1" x14ac:dyDescent="0.2">
      <c r="A61" s="48"/>
      <c r="B61" s="63" t="s">
        <v>332</v>
      </c>
      <c r="C61" s="64" t="s">
        <v>333</v>
      </c>
      <c r="D61" s="65"/>
      <c r="E61" s="65"/>
      <c r="F61" s="65"/>
      <c r="G61" s="65"/>
      <c r="H61" s="65"/>
    </row>
    <row r="62" spans="1:9" s="50" customFormat="1" ht="12" customHeight="1" x14ac:dyDescent="0.2">
      <c r="A62" s="48"/>
      <c r="B62" s="63" t="s">
        <v>24</v>
      </c>
      <c r="C62" s="197" t="s">
        <v>334</v>
      </c>
      <c r="D62" s="198"/>
      <c r="E62" s="198"/>
      <c r="F62" s="198"/>
      <c r="G62" s="198"/>
      <c r="H62" s="198"/>
    </row>
    <row r="63" spans="1:9" s="50" customFormat="1" ht="12" customHeight="1" x14ac:dyDescent="0.2">
      <c r="A63" s="48"/>
      <c r="B63" s="63" t="s">
        <v>25</v>
      </c>
      <c r="C63" s="197" t="s">
        <v>335</v>
      </c>
      <c r="D63" s="198"/>
      <c r="E63" s="198"/>
      <c r="F63" s="198"/>
      <c r="G63" s="198"/>
      <c r="H63" s="198"/>
    </row>
    <row r="64" spans="1:9" x14ac:dyDescent="0.3">
      <c r="A64" s="47"/>
      <c r="B64" s="47"/>
      <c r="C64" s="47"/>
      <c r="D64" s="47"/>
      <c r="E64" s="47"/>
      <c r="F64" s="47"/>
      <c r="G64" s="47"/>
      <c r="H64" s="47"/>
      <c r="I64" s="47"/>
    </row>
    <row r="65" spans="1:9" x14ac:dyDescent="0.3">
      <c r="A65" s="234" t="s">
        <v>336</v>
      </c>
      <c r="B65" s="234"/>
      <c r="C65" s="234"/>
      <c r="D65" s="234"/>
      <c r="E65" s="234"/>
      <c r="F65" s="234"/>
      <c r="G65" s="234"/>
      <c r="H65" s="234"/>
      <c r="I65" s="234"/>
    </row>
    <row r="66" spans="1:9" x14ac:dyDescent="0.3">
      <c r="A66" s="230" t="s">
        <v>337</v>
      </c>
      <c r="B66" s="230"/>
      <c r="C66" s="230"/>
      <c r="D66" s="230"/>
      <c r="E66" s="230"/>
      <c r="F66" s="230"/>
      <c r="G66" s="230"/>
      <c r="H66" s="230"/>
      <c r="I66" s="230"/>
    </row>
    <row r="67" spans="1:9" x14ac:dyDescent="0.3">
      <c r="A67" s="68" t="s">
        <v>338</v>
      </c>
      <c r="B67" s="68" t="s">
        <v>339</v>
      </c>
    </row>
    <row r="68" spans="1:9" x14ac:dyDescent="0.3">
      <c r="A68" s="75"/>
      <c r="E68" s="68"/>
    </row>
    <row r="74" spans="1:9" x14ac:dyDescent="0.3">
      <c r="E74" s="7"/>
    </row>
    <row r="76" spans="1:9" x14ac:dyDescent="0.3">
      <c r="E76" s="75" t="s">
        <v>340</v>
      </c>
      <c r="F76" s="234" t="s">
        <v>341</v>
      </c>
      <c r="G76" s="234"/>
      <c r="H76" s="234"/>
      <c r="I76" s="234"/>
    </row>
    <row r="77" spans="1:9" x14ac:dyDescent="0.3">
      <c r="F77" s="234"/>
      <c r="G77" s="234"/>
      <c r="H77" s="234"/>
      <c r="I77" s="234"/>
    </row>
    <row r="84" spans="1:9" x14ac:dyDescent="0.3">
      <c r="A84" s="3" t="s">
        <v>342</v>
      </c>
      <c r="B84" s="3" t="s">
        <v>343</v>
      </c>
    </row>
    <row r="85" spans="1:9" x14ac:dyDescent="0.3">
      <c r="A85" s="3" t="s">
        <v>344</v>
      </c>
      <c r="B85" s="238" t="s">
        <v>345</v>
      </c>
      <c r="C85" s="238"/>
      <c r="D85" s="238"/>
    </row>
    <row r="86" spans="1:9" x14ac:dyDescent="0.3">
      <c r="B86" s="238"/>
      <c r="C86" s="238"/>
      <c r="D86" s="238"/>
    </row>
    <row r="87" spans="1:9" x14ac:dyDescent="0.3">
      <c r="A87" s="3" t="s">
        <v>346</v>
      </c>
      <c r="B87" s="3" t="s">
        <v>347</v>
      </c>
    </row>
    <row r="89" spans="1:9" ht="21" x14ac:dyDescent="0.4">
      <c r="A89" s="76" t="s">
        <v>348</v>
      </c>
    </row>
    <row r="91" spans="1:9" ht="18" x14ac:dyDescent="0.35">
      <c r="A91" s="66"/>
      <c r="B91" s="199" t="s">
        <v>349</v>
      </c>
      <c r="C91" s="70"/>
      <c r="D91" s="66"/>
      <c r="E91" s="66"/>
      <c r="F91" s="66"/>
      <c r="G91" s="66"/>
      <c r="H91" s="66"/>
      <c r="I91" s="66"/>
    </row>
    <row r="92" spans="1:9" x14ac:dyDescent="0.3">
      <c r="A92" s="230" t="s">
        <v>350</v>
      </c>
      <c r="B92" s="230"/>
      <c r="C92" s="230"/>
      <c r="D92" s="230"/>
      <c r="E92" s="230"/>
      <c r="F92" s="230"/>
      <c r="G92" s="230"/>
      <c r="H92" s="230"/>
      <c r="I92" s="230"/>
    </row>
    <row r="93" spans="1:9" x14ac:dyDescent="0.3">
      <c r="A93" s="230" t="s">
        <v>351</v>
      </c>
      <c r="B93" s="230"/>
      <c r="C93" s="230"/>
      <c r="D93" s="230"/>
      <c r="E93" s="230"/>
      <c r="F93" s="230"/>
      <c r="G93" s="230"/>
      <c r="H93" s="230"/>
      <c r="I93" s="230"/>
    </row>
    <row r="95" spans="1:9" ht="18" x14ac:dyDescent="0.35">
      <c r="A95" s="66"/>
      <c r="B95" s="66"/>
      <c r="C95" s="200" t="s">
        <v>352</v>
      </c>
      <c r="D95" s="153"/>
      <c r="E95" s="153"/>
      <c r="F95" s="66"/>
      <c r="G95" s="66"/>
      <c r="H95" s="66"/>
      <c r="I95" s="66"/>
    </row>
    <row r="96" spans="1:9" x14ac:dyDescent="0.3">
      <c r="A96" s="230" t="s">
        <v>353</v>
      </c>
      <c r="B96" s="230"/>
      <c r="C96" s="230"/>
      <c r="D96" s="230"/>
      <c r="E96" s="230"/>
      <c r="F96" s="230"/>
      <c r="G96" s="230"/>
      <c r="H96" s="230"/>
      <c r="I96" s="230"/>
    </row>
    <row r="97" spans="1:9" x14ac:dyDescent="0.3">
      <c r="A97" s="230" t="s">
        <v>354</v>
      </c>
      <c r="B97" s="230"/>
      <c r="C97" s="230"/>
      <c r="D97" s="230"/>
      <c r="E97" s="230"/>
      <c r="F97" s="230"/>
      <c r="G97" s="230"/>
      <c r="H97" s="230"/>
      <c r="I97" s="230"/>
    </row>
    <row r="99" spans="1:9" ht="18" x14ac:dyDescent="0.35">
      <c r="A99" s="66"/>
      <c r="B99" s="66"/>
      <c r="C99" s="66"/>
      <c r="D99" s="200" t="s">
        <v>355</v>
      </c>
      <c r="E99" s="152"/>
      <c r="F99" s="152"/>
      <c r="G99" s="66"/>
      <c r="H99" s="66"/>
      <c r="I99" s="66"/>
    </row>
    <row r="100" spans="1:9" ht="34.5" customHeight="1" x14ac:dyDescent="0.3">
      <c r="A100" s="230" t="s">
        <v>356</v>
      </c>
      <c r="B100" s="230"/>
      <c r="C100" s="230"/>
      <c r="D100" s="230"/>
      <c r="E100" s="230"/>
      <c r="F100" s="230"/>
      <c r="G100" s="230"/>
      <c r="H100" s="230"/>
      <c r="I100" s="230"/>
    </row>
    <row r="101" spans="1:9" x14ac:dyDescent="0.3">
      <c r="A101" s="230" t="s">
        <v>357</v>
      </c>
      <c r="B101" s="230"/>
      <c r="C101" s="230"/>
      <c r="D101" s="230"/>
      <c r="E101" s="230"/>
      <c r="F101" s="230"/>
      <c r="G101" s="230"/>
      <c r="H101" s="230"/>
      <c r="I101" s="230"/>
    </row>
    <row r="103" spans="1:9" ht="18.75" x14ac:dyDescent="0.3">
      <c r="A103" s="77"/>
      <c r="B103" s="77"/>
      <c r="C103" s="77"/>
      <c r="D103" s="77"/>
      <c r="E103" s="201" t="s">
        <v>358</v>
      </c>
      <c r="F103" s="78"/>
      <c r="G103" s="77"/>
      <c r="H103" s="77"/>
      <c r="I103" s="77"/>
    </row>
    <row r="104" spans="1:9" ht="16.5" customHeight="1" x14ac:dyDescent="0.3">
      <c r="A104" s="230" t="s">
        <v>359</v>
      </c>
      <c r="B104" s="230"/>
      <c r="C104" s="230"/>
      <c r="D104" s="230"/>
      <c r="E104" s="230"/>
      <c r="F104" s="230"/>
      <c r="G104" s="230"/>
      <c r="H104" s="230"/>
      <c r="I104" s="230"/>
    </row>
    <row r="106" spans="1:9" x14ac:dyDescent="0.3">
      <c r="A106" s="77"/>
      <c r="B106" s="77"/>
      <c r="C106" s="77"/>
      <c r="D106" s="77"/>
      <c r="E106" s="77"/>
      <c r="F106" s="77"/>
      <c r="G106" s="84" t="s">
        <v>296</v>
      </c>
      <c r="H106" s="84"/>
      <c r="I106" s="77"/>
    </row>
    <row r="107" spans="1:9" ht="34.5" customHeight="1" x14ac:dyDescent="0.3">
      <c r="A107" s="230" t="s">
        <v>360</v>
      </c>
      <c r="B107" s="230"/>
      <c r="C107" s="230"/>
      <c r="D107" s="230"/>
      <c r="E107" s="230"/>
      <c r="F107" s="230"/>
      <c r="G107" s="230"/>
      <c r="H107" s="230"/>
      <c r="I107" s="230"/>
    </row>
    <row r="109" spans="1:9" x14ac:dyDescent="0.3">
      <c r="A109" s="1" t="s">
        <v>361</v>
      </c>
    </row>
    <row r="110" spans="1:9" x14ac:dyDescent="0.3">
      <c r="A110" s="87" t="s">
        <v>362</v>
      </c>
    </row>
  </sheetData>
  <sheetProtection algorithmName="SHA-512" hashValue="AydjIjOShhTr7vCWcUAuAZsYQKSNB2jsFmaci8LiU8bAMtqU4xnh8QPS+O8SDfda7UYe80hHocXYvJ3ujmw/aw==" saltValue="78OAguKKRyLRyecw2V0OpA==" spinCount="100000" sheet="1" objects="1" scenarios="1"/>
  <mergeCells count="30">
    <mergeCell ref="A107:I107"/>
    <mergeCell ref="A10:I10"/>
    <mergeCell ref="A104:I104"/>
    <mergeCell ref="A14:I14"/>
    <mergeCell ref="A17:I17"/>
    <mergeCell ref="F76:I77"/>
    <mergeCell ref="B85:D86"/>
    <mergeCell ref="A92:I92"/>
    <mergeCell ref="A93:I93"/>
    <mergeCell ref="A100:I100"/>
    <mergeCell ref="A101:I101"/>
    <mergeCell ref="A96:I96"/>
    <mergeCell ref="A97:I97"/>
    <mergeCell ref="C55:H55"/>
    <mergeCell ref="C56:H56"/>
    <mergeCell ref="H1:I1"/>
    <mergeCell ref="A6:I6"/>
    <mergeCell ref="A7:I7"/>
    <mergeCell ref="A66:I66"/>
    <mergeCell ref="C22:H22"/>
    <mergeCell ref="C57:H57"/>
    <mergeCell ref="C53:H53"/>
    <mergeCell ref="A65:I65"/>
    <mergeCell ref="A26:I26"/>
    <mergeCell ref="A27:I27"/>
    <mergeCell ref="A29:I29"/>
    <mergeCell ref="A36:I36"/>
    <mergeCell ref="A46:I46"/>
    <mergeCell ref="A47:I47"/>
    <mergeCell ref="B54:H54"/>
  </mergeCells>
  <conditionalFormatting sqref="A31:A34 A38:A41">
    <cfRule type="containsBlanks" dxfId="56" priority="6">
      <formula>LEN(TRIM(A31))=0</formula>
    </cfRule>
  </conditionalFormatting>
  <conditionalFormatting sqref="A42">
    <cfRule type="containsBlanks" dxfId="55" priority="4">
      <formula>LEN(TRIM(A42))=0</formula>
    </cfRule>
  </conditionalFormatting>
  <pageMargins left="0.39370078740157483" right="0.39370078740157483" top="0.39370078740157483" bottom="0.6692913385826772" header="0.31496062992125984" footer="0.31496062992125984"/>
  <pageSetup paperSize="9" scale="95" orientation="portrait" verticalDpi="1200" r:id="rId1"/>
  <headerFooter>
    <oddFooter>&amp;L&amp;1#&amp;"Calibri,Regular"&amp;10&amp;K000000Internal&amp;R&amp;10&amp;P/&amp;N</oddFooter>
  </headerFooter>
  <rowBreaks count="1" manualBreakCount="1">
    <brk id="45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32FBDE9-6EF9-4C72-B956-E65A43367B26}">
          <x14:formula1>
            <xm:f>budget_groups!$A$4:$A$54</xm:f>
          </x14:formula1>
          <xm:sqref>C31:C34 C38:C42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6FCA8F0D9535469F1BD5E122D4EEC6" ma:contentTypeVersion="18" ma:contentTypeDescription="Create a new document." ma:contentTypeScope="" ma:versionID="42b9385dd51b5db739811df9f3d523d1">
  <xsd:schema xmlns:xsd="http://www.w3.org/2001/XMLSchema" xmlns:xs="http://www.w3.org/2001/XMLSchema" xmlns:p="http://schemas.microsoft.com/office/2006/metadata/properties" xmlns:ns2="7c2b3a46-3622-41d6-ad27-96c781e0e904" xmlns:ns3="cd011140-a986-47f6-8a5b-3a70553981e5" targetNamespace="http://schemas.microsoft.com/office/2006/metadata/properties" ma:root="true" ma:fieldsID="7874af1fe2cb8afa3c50c96aa9ed01f1" ns2:_="" ns3:_="">
    <xsd:import namespace="7c2b3a46-3622-41d6-ad27-96c781e0e904"/>
    <xsd:import namespace="cd011140-a986-47f6-8a5b-3a70553981e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2b3a46-3622-41d6-ad27-96c781e0e9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14f832c-f6f1-485d-8901-6765a4832c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011140-a986-47f6-8a5b-3a70553981e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914af50c-7b2a-472b-b405-8772470ba0da}" ma:internalName="TaxCatchAll" ma:showField="CatchAllData" ma:web="cd011140-a986-47f6-8a5b-3a70553981e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d011140-a986-47f6-8a5b-3a70553981e5" xsi:nil="true"/>
    <lcf76f155ced4ddcb4097134ff3c332f xmlns="7c2b3a46-3622-41d6-ad27-96c781e0e904">
      <Terms xmlns="http://schemas.microsoft.com/office/infopath/2007/PartnerControls"/>
    </lcf76f155ced4ddcb4097134ff3c332f>
    <SharedWithUsers xmlns="cd011140-a986-47f6-8a5b-3a70553981e5">
      <UserInfo>
        <DisplayName/>
        <AccountId xsi:nil="true"/>
        <AccountType/>
      </UserInfo>
    </SharedWithUsers>
  </documentManagement>
</p:properties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Props1.xml><?xml version="1.0" encoding="utf-8"?>
<ds:datastoreItem xmlns:ds="http://schemas.openxmlformats.org/officeDocument/2006/customXml" ds:itemID="{78527951-982F-476E-AB6F-574252858EF9}">
  <ds:schemaRefs>
    <ds:schemaRef ds:uri="http://gemini/pivotcustomization/SandboxNonEmpty"/>
  </ds:schemaRefs>
</ds:datastoreItem>
</file>

<file path=customXml/itemProps2.xml><?xml version="1.0" encoding="utf-8"?>
<ds:datastoreItem xmlns:ds="http://schemas.openxmlformats.org/officeDocument/2006/customXml" ds:itemID="{990AA535-0B8E-43C7-88BE-9FF80A0F5B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2b3a46-3622-41d6-ad27-96c781e0e904"/>
    <ds:schemaRef ds:uri="cd011140-a986-47f6-8a5b-3a70553981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07A518-DE01-41E8-93E8-DCD965CC23CF}">
  <ds:schemaRefs>
    <ds:schemaRef ds:uri="http://gemini/pivotcustomization/RelationshipAutoDetectionEnabled"/>
  </ds:schemaRefs>
</ds:datastoreItem>
</file>

<file path=customXml/itemProps4.xml><?xml version="1.0" encoding="utf-8"?>
<ds:datastoreItem xmlns:ds="http://schemas.openxmlformats.org/officeDocument/2006/customXml" ds:itemID="{A8CA59A0-09DB-4EC7-A599-6EC4FF0D7F5D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D6F39A96-9FB8-4C7A-919E-06EBA8824D90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F3D118A5-8FF8-4B9B-97AB-CBD3E6E8DE40}">
  <ds:schemaRefs>
    <ds:schemaRef ds:uri="http://gemini/pivotcustomization/ErrorCache"/>
  </ds:schemaRefs>
</ds:datastoreItem>
</file>

<file path=customXml/itemProps7.xml><?xml version="1.0" encoding="utf-8"?>
<ds:datastoreItem xmlns:ds="http://schemas.openxmlformats.org/officeDocument/2006/customXml" ds:itemID="{AE7247BC-80AA-4643-95F1-FC04A1F17B26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7c2b3a46-3622-41d6-ad27-96c781e0e904"/>
    <ds:schemaRef ds:uri="http://purl.org/dc/terms/"/>
    <ds:schemaRef ds:uri="cd011140-a986-47f6-8a5b-3a70553981e5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8.xml><?xml version="1.0" encoding="utf-8"?>
<ds:datastoreItem xmlns:ds="http://schemas.openxmlformats.org/officeDocument/2006/customXml" ds:itemID="{E4A91658-E2D6-4BD2-9CD4-C1946FB72408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A5F3865E-4497-4A55-8124-B1C0EC27D1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budget_tool</vt:lpstr>
      <vt:lpstr>DREF for publication</vt:lpstr>
      <vt:lpstr>Summary by APCode</vt:lpstr>
      <vt:lpstr>Resource Budget summary</vt:lpstr>
      <vt:lpstr>budget_groups</vt:lpstr>
      <vt:lpstr>WBS</vt:lpstr>
      <vt:lpstr>Guidelines</vt:lpstr>
      <vt:lpstr>APP_CODE</vt:lpstr>
      <vt:lpstr>CHF_EA01</vt:lpstr>
      <vt:lpstr>CHF_EA02</vt:lpstr>
      <vt:lpstr>CHF_EA03</vt:lpstr>
      <vt:lpstr>CHF_PO01</vt:lpstr>
      <vt:lpstr>CHF_PO02</vt:lpstr>
      <vt:lpstr>CHF_PO03</vt:lpstr>
      <vt:lpstr>CHF_PO04</vt:lpstr>
      <vt:lpstr>CHF_PO05</vt:lpstr>
      <vt:lpstr>CHF_PO06</vt:lpstr>
      <vt:lpstr>CHF_PO07</vt:lpstr>
      <vt:lpstr>CHF_PO08</vt:lpstr>
      <vt:lpstr>CHF_PO09</vt:lpstr>
      <vt:lpstr>CHF_PO10</vt:lpstr>
      <vt:lpstr>CHF_PO11</vt:lpstr>
      <vt:lpstr>NS_NAME</vt:lpstr>
      <vt:lpstr>OPERATION</vt:lpstr>
      <vt:lpstr>budget_groups!Print_Area</vt:lpstr>
      <vt:lpstr>budget_tool!Print_Area</vt:lpstr>
      <vt:lpstr>'DREF for publication'!Print_Area</vt:lpstr>
      <vt:lpstr>Guidelines!Print_Area</vt:lpstr>
      <vt:lpstr>'Resource Budget summary'!Print_Area</vt:lpstr>
      <vt:lpstr>'Summary by APCode'!Print_Area</vt:lpstr>
      <vt:lpstr>WBS!Print_Area</vt:lpstr>
      <vt:lpstr>budget_tool!Print_Titles</vt:lpstr>
      <vt:lpstr>Guidelines!Print_Titles</vt:lpstr>
      <vt:lpstr>'Resource Budget summary'!Print_Titles</vt:lpstr>
      <vt:lpstr>'Summary by APCode'!Print_Titles</vt:lpstr>
      <vt:lpstr>WBS!Print_Titles</vt:lpstr>
      <vt:lpstr>RATE</vt:lpstr>
      <vt:lpstr>TOT_BUDGET</vt:lpstr>
      <vt:lpstr>WBS!TOT_DIRECT</vt:lpstr>
      <vt:lpstr>TOT_DIRECT</vt:lpstr>
      <vt:lpstr>TOT_INDIRECT</vt:lpstr>
      <vt:lpstr>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Angela Eaton</dc:creator>
  <cp:keywords/>
  <dc:description/>
  <cp:lastModifiedBy>Matilde Lencastre Godinho</cp:lastModifiedBy>
  <cp:revision/>
  <dcterms:created xsi:type="dcterms:W3CDTF">2021-05-20T13:37:49Z</dcterms:created>
  <dcterms:modified xsi:type="dcterms:W3CDTF">2026-10-01T11:50:09Z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627b15a-80ec-4ef7-8353-f32e3c89bf3e_Enabled">
    <vt:lpwstr>true</vt:lpwstr>
  </property>
  <property fmtid="{D5CDD505-2E9C-101B-9397-08002B2CF9AE}" pid="3" name="MSIP_Label_6627b15a-80ec-4ef7-8353-f32e3c89bf3e_SetDate">
    <vt:lpwstr>2022-08-23T06:39:29Z</vt:lpwstr>
  </property>
  <property fmtid="{D5CDD505-2E9C-101B-9397-08002B2CF9AE}" pid="4" name="MSIP_Label_6627b15a-80ec-4ef7-8353-f32e3c89bf3e_Method">
    <vt:lpwstr>Privileged</vt:lpwstr>
  </property>
  <property fmtid="{D5CDD505-2E9C-101B-9397-08002B2CF9AE}" pid="5" name="MSIP_Label_6627b15a-80ec-4ef7-8353-f32e3c89bf3e_Name">
    <vt:lpwstr>IFRC Internal</vt:lpwstr>
  </property>
  <property fmtid="{D5CDD505-2E9C-101B-9397-08002B2CF9AE}" pid="6" name="MSIP_Label_6627b15a-80ec-4ef7-8353-f32e3c89bf3e_SiteId">
    <vt:lpwstr>a2b53be5-734e-4e6c-ab0d-d184f60fd917</vt:lpwstr>
  </property>
  <property fmtid="{D5CDD505-2E9C-101B-9397-08002B2CF9AE}" pid="7" name="MSIP_Label_6627b15a-80ec-4ef7-8353-f32e3c89bf3e_ActionId">
    <vt:lpwstr>a7c022e8-845b-4924-935a-8d9515522da3</vt:lpwstr>
  </property>
  <property fmtid="{D5CDD505-2E9C-101B-9397-08002B2CF9AE}" pid="8" name="MSIP_Label_6627b15a-80ec-4ef7-8353-f32e3c89bf3e_ContentBits">
    <vt:lpwstr>2</vt:lpwstr>
  </property>
  <property fmtid="{D5CDD505-2E9C-101B-9397-08002B2CF9AE}" pid="9" name="ContentTypeId">
    <vt:lpwstr>0x0101006F6FCA8F0D9535469F1BD5E122D4EEC6</vt:lpwstr>
  </property>
  <property fmtid="{D5CDD505-2E9C-101B-9397-08002B2CF9AE}" pid="10" name="MediaServiceImageTags">
    <vt:lpwstr/>
  </property>
  <property fmtid="{D5CDD505-2E9C-101B-9397-08002B2CF9AE}" pid="11" name="Order">
    <vt:r8>1345900</vt:r8>
  </property>
  <property fmtid="{D5CDD505-2E9C-101B-9397-08002B2CF9AE}" pid="12" name="ComplianceAssetId">
    <vt:lpwstr/>
  </property>
  <property fmtid="{D5CDD505-2E9C-101B-9397-08002B2CF9AE}" pid="13" name="_ExtendedDescription">
    <vt:lpwstr/>
  </property>
  <property fmtid="{D5CDD505-2E9C-101B-9397-08002B2CF9AE}" pid="14" name="TriggerFlowInfo">
    <vt:lpwstr/>
  </property>
</Properties>
</file>